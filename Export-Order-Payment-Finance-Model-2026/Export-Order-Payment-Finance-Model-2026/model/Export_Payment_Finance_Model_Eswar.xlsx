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askA_PackingCredit" sheetId="2" state="visible" r:id="rId4"/>
    <sheet name="TaskB_C_Model" sheetId="3" state="visible" r:id="rId5"/>
    <sheet name="TaskD_Summary" sheetId="4" state="visible" r:id="rId6"/>
    <sheet name="TaskE_UCP600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<sst xmlns="http://schemas.openxmlformats.org/spreadsheetml/2006/main" count="292" uniqueCount="224">
  <si>
    <t xml:space="preserve">ASSUMPTIONS BLOCK — every other sheet references these cells</t>
  </si>
  <si>
    <t xml:space="preserve">Eswar Mahalingam · International Business Internship (Internship Studio) · Module 6 Project · Export Order Payment &amp; Finance Model</t>
  </si>
  <si>
    <t xml:space="preserve">Legend: blue = given input (from brief), yellow fill = editable scenario input, black = formula</t>
  </si>
  <si>
    <t xml:space="preserve">Item</t>
  </si>
  <si>
    <t xml:space="preserve">Value</t>
  </si>
  <si>
    <t xml:space="preserve">Unit</t>
  </si>
  <si>
    <t xml:space="preserve">Source / note</t>
  </si>
  <si>
    <t xml:space="preserve">TRANSACTION FACTS</t>
  </si>
  <si>
    <t xml:space="preserve">Export order value (FOB), USD</t>
  </si>
  <si>
    <t xml:space="preserve">USD</t>
  </si>
  <si>
    <t xml:space="preserve">Brief 3.1</t>
  </si>
  <si>
    <t xml:space="preserve">Production cost / packing credit base, USD</t>
  </si>
  <si>
    <t xml:space="preserve">Pre-shipment (production) period, days</t>
  </si>
  <si>
    <t xml:space="preserve">days</t>
  </si>
  <si>
    <t xml:space="preserve">Credit period offered to buyer, days after shipment</t>
  </si>
  <si>
    <t xml:space="preserve">Reporting exchange rate, INR per USD</t>
  </si>
  <si>
    <t xml:space="preserve">INR/USD</t>
  </si>
  <si>
    <t xml:space="preserve">Brief 3.1 (fixed)</t>
  </si>
  <si>
    <t xml:space="preserve">Day-count convention, days per year</t>
  </si>
  <si>
    <t xml:space="preserve">Advance payment price concession</t>
  </si>
  <si>
    <t xml:space="preserve">%</t>
  </si>
  <si>
    <t xml:space="preserve">Brief 3.4</t>
  </si>
  <si>
    <t xml:space="preserve">BANK CHARGES</t>
  </si>
  <si>
    <t xml:space="preserve">LC advising charge, USD (flat)</t>
  </si>
  <si>
    <t xml:space="preserve">Brief 3.2</t>
  </si>
  <si>
    <t xml:space="preserve">LC confirmation charge, % per month on LC value</t>
  </si>
  <si>
    <t xml:space="preserve">%/month</t>
  </si>
  <si>
    <t xml:space="preserve">Confirmation tenor, months (LC opened at order, valid to shipment = 60 days)</t>
  </si>
  <si>
    <t xml:space="preserve">months</t>
  </si>
  <si>
    <t xml:space="preserve">Assumption: 60-day production = 2 months</t>
  </si>
  <si>
    <t xml:space="preserve">Negotiation / handling charge, % of bill value</t>
  </si>
  <si>
    <t xml:space="preserve">SWIFT / courier, USD (flat)</t>
  </si>
  <si>
    <t xml:space="preserve">Documentary collection (D/A) handling, % of bill value</t>
  </si>
  <si>
    <t xml:space="preserve">Open account remittance handling, USD (flat)</t>
  </si>
  <si>
    <t xml:space="preserve">Inward remittance charge (advance), USD (flat)</t>
  </si>
  <si>
    <t xml:space="preserve">Discrepancy fee (LC), USD per set</t>
  </si>
  <si>
    <t xml:space="preserve">FINANCE RATES (per year)</t>
  </si>
  <si>
    <t xml:space="preserve">Pre-shipment packing credit rate</t>
  </si>
  <si>
    <t xml:space="preserve">Brief 3.3</t>
  </si>
  <si>
    <t xml:space="preserve">Post-shipment credit / bill discounting (INR) rate</t>
  </si>
  <si>
    <t xml:space="preserve">Interest subvention benefit (reduction)</t>
  </si>
  <si>
    <t xml:space="preserve">Foreign currency usance bill discount rate</t>
  </si>
  <si>
    <t xml:space="preserve">Brief 3.3 (already net)</t>
  </si>
  <si>
    <t xml:space="preserve">Exporter opportunity cost of capital (PV rate)</t>
  </si>
  <si>
    <t xml:space="preserve">Subvented packing credit rate</t>
  </si>
  <si>
    <t xml:space="preserve">Formula: base − subvention</t>
  </si>
  <si>
    <t xml:space="preserve">Subvented post-shipment credit rate</t>
  </si>
  <si>
    <t xml:space="preserve">DEFAULT PROBABILITIES</t>
  </si>
  <si>
    <t xml:space="preserve">Advance payment (100%)</t>
  </si>
  <si>
    <t xml:space="preserve">Confirmed LC at sight</t>
  </si>
  <si>
    <t xml:space="preserve">Usance LC 90 days (unconfirmed)</t>
  </si>
  <si>
    <t xml:space="preserve">Documentary collection D/A 90 days</t>
  </si>
  <si>
    <t xml:space="preserve">Open account 90 days</t>
  </si>
  <si>
    <t xml:space="preserve">TASK E SCENARIO INPUTS</t>
  </si>
  <si>
    <t xml:space="preserve">Number of discrepant document sets presented</t>
  </si>
  <si>
    <t xml:space="preserve">sets</t>
  </si>
  <si>
    <t xml:space="preserve">Task E scenario</t>
  </si>
  <si>
    <t xml:space="preserve">Default probability if LC is discrepant (bank undertaking lost → buyer credit risk, open-account level)</t>
  </si>
  <si>
    <t xml:space="preserve">Scenario (editable)</t>
  </si>
  <si>
    <t xml:space="preserve">Extra days delay while buyer waiver is sought</t>
  </si>
  <si>
    <t xml:space="preserve">TASK A — Pre-shipment financing cost (packing credit)</t>
  </si>
  <si>
    <t xml:space="preserve">Step</t>
  </si>
  <si>
    <t xml:space="preserve">Formula (as typed)</t>
  </si>
  <si>
    <t xml:space="preserve">1</t>
  </si>
  <si>
    <t xml:space="preserve">Packing credit principal, USD</t>
  </si>
  <si>
    <t xml:space="preserve">=Assumptions!B8</t>
  </si>
  <si>
    <t xml:space="preserve">2</t>
  </si>
  <si>
    <t xml:space="preserve">Base packing credit rate</t>
  </si>
  <si>
    <t xml:space="preserve">=Assumptions!B25</t>
  </si>
  <si>
    <t xml:space="preserve">3</t>
  </si>
  <si>
    <t xml:space="preserve">Interest subvention</t>
  </si>
  <si>
    <t xml:space="preserve">=Assumptions!B27</t>
  </si>
  <si>
    <t xml:space="preserve">4</t>
  </si>
  <si>
    <t xml:space="preserve">Subvented rate (base − subvention)</t>
  </si>
  <si>
    <t xml:space="preserve">=C6-C7</t>
  </si>
  <si>
    <t xml:space="preserve">5</t>
  </si>
  <si>
    <t xml:space="preserve">Production period, days</t>
  </si>
  <si>
    <t xml:space="preserve">=Assumptions!B9</t>
  </si>
  <si>
    <t xml:space="preserve">6</t>
  </si>
  <si>
    <t xml:space="preserve">Day count</t>
  </si>
  <si>
    <t xml:space="preserve">=Assumptions!B12</t>
  </si>
  <si>
    <t xml:space="preserve">7</t>
  </si>
  <si>
    <t xml:space="preserve">Packing credit interest, USD = Principal × subvented rate × days/360</t>
  </si>
  <si>
    <t xml:space="preserve">=C5*C8*C9/C10</t>
  </si>
  <si>
    <t xml:space="preserve">8</t>
  </si>
  <si>
    <t xml:space="preserve">Packing credit interest, INR (× 83.50)</t>
  </si>
  <si>
    <t xml:space="preserve">=C11*Assumptions!B11</t>
  </si>
  <si>
    <t xml:space="preserve">9</t>
  </si>
  <si>
    <t xml:space="preserve">Interest without subvention (for comparison), USD</t>
  </si>
  <si>
    <t xml:space="preserve">=C5*C6*C9/C10</t>
  </si>
  <si>
    <t xml:space="preserve">10</t>
  </si>
  <si>
    <t xml:space="preserve">Subvention saving, USD</t>
  </si>
  <si>
    <t xml:space="preserve">=C13-C11</t>
  </si>
  <si>
    <t xml:space="preserve">Note: this cost applies to every payment term except advance payment (cash arrives before production, so no packing credit is drawn).</t>
  </si>
  <si>
    <t xml:space="preserve">TASK B &amp; C — Cost build-up, net realisation, present value and all-in cost for the five payment terms</t>
  </si>
  <si>
    <t xml:space="preserve">Row</t>
  </si>
  <si>
    <t xml:space="preserve">Special condition</t>
  </si>
  <si>
    <t xml:space="preserve">5% price concession demanded by buyer</t>
  </si>
  <si>
    <t xml:space="preserve">Confirmation charge applies</t>
  </si>
  <si>
    <t xml:space="preserve">Bill discounted in foreign currency @ 6.5%</t>
  </si>
  <si>
    <t xml:space="preserve">No bank undertaking; post-shipment credit</t>
  </si>
  <si>
    <t xml:space="preserve">No documents held; post-shipment credit</t>
  </si>
  <si>
    <t xml:space="preserve">Payment timing (day)</t>
  </si>
  <si>
    <t xml:space="preserve">Cash timing basis</t>
  </si>
  <si>
    <t xml:space="preserve">Advance received before production</t>
  </si>
  <si>
    <t xml:space="preserve">Sight payment at shipment (day 60)</t>
  </si>
  <si>
    <t xml:space="preserve">Discounted proceeds at shipment (day 60)</t>
  </si>
  <si>
    <t xml:space="preserve">Credit-financed proceeds at shipment (day 60)</t>
  </si>
  <si>
    <t xml:space="preserve">GROSS AMOUNT RECEIVED</t>
  </si>
  <si>
    <t xml:space="preserve">Bank charge: LC advising</t>
  </si>
  <si>
    <t xml:space="preserve">Bank charge: LC confirmation (0.15%/month × months × LC value)</t>
  </si>
  <si>
    <t xml:space="preserve">Bank charge: negotiation / handling (0.20% × bill)</t>
  </si>
  <si>
    <t xml:space="preserve">Bank charge: D/A collection handling (0.15% × bill)</t>
  </si>
  <si>
    <t xml:space="preserve">Bank charge: open account remittance handling</t>
  </si>
  <si>
    <t xml:space="preserve">Bank charge: inward remittance (advance)</t>
  </si>
  <si>
    <t xml:space="preserve">Bank charge: SWIFT / courier</t>
  </si>
  <si>
    <t xml:space="preserve">TOTAL BANK CHARGES</t>
  </si>
  <si>
    <t xml:space="preserve">Financing / discounting cost (usance LC: bill × 6.5% × 90/360; D/A &amp; OA: bill × subvented 6.5% × 90/360)</t>
  </si>
  <si>
    <t xml:space="preserve">Packing credit cost (Task A)</t>
  </si>
  <si>
    <t xml:space="preserve">Default probability</t>
  </si>
  <si>
    <t xml:space="preserve">Expected loss = probability × order value</t>
  </si>
  <si>
    <t xml:space="preserve">NET REALISATION (nominal) = gross − charges − financing − packing credit − expected loss</t>
  </si>
  <si>
    <t xml:space="preserve">Net realisation, INR (× 83.50)</t>
  </si>
  <si>
    <t xml:space="preserve">Days from day 0 to cash</t>
  </si>
  <si>
    <t xml:space="preserve">PV factor (simple) = 1 / (1 + 12% × days/360)</t>
  </si>
  <si>
    <t xml:space="preserve">PRESENT VALUE OF NET REALISATION, USD</t>
  </si>
  <si>
    <t xml:space="preserve">Present value, INR</t>
  </si>
  <si>
    <t xml:space="preserve">ALL-IN COST % = (order value − PV) / order value</t>
  </si>
  <si>
    <t xml:space="preserve">All-in cost, USD (order value − PV)</t>
  </si>
  <si>
    <t xml:space="preserve">Rank by PV of net realisation (1 = best)</t>
  </si>
  <si>
    <t xml:space="preserve">Rank by default risk (1 = safest)</t>
  </si>
  <si>
    <t xml:space="preserve">Cost of risk share: expected loss as % of all-in cost</t>
  </si>
  <si>
    <t xml:space="preserve">Checks</t>
  </si>
  <si>
    <t xml:space="preserve">Advance premium check: does the 5% concession (USD) exceed total sight-LC frictions (charges + packing credit + expected loss)?</t>
  </si>
  <si>
    <t xml:space="preserve">Best term by PV (formula)</t>
  </si>
  <si>
    <t xml:space="preserve">Safest term by default risk (formula)</t>
  </si>
  <si>
    <t xml:space="preserve">PV gap: best term minus second-best, USD</t>
  </si>
  <si>
    <t xml:space="preserve">TASK D — Ranking, comparison table and chart</t>
  </si>
  <si>
    <t xml:space="preserve">Payment term</t>
  </si>
  <si>
    <t xml:space="preserve">Expected loss (USD)</t>
  </si>
  <si>
    <t xml:space="preserve">Net realisation nominal (USD)</t>
  </si>
  <si>
    <t xml:space="preserve">PV of net realisation (USD)</t>
  </si>
  <si>
    <t xml:space="preserve">PV (INR)</t>
  </si>
  <si>
    <t xml:space="preserve">All-in cost %</t>
  </si>
  <si>
    <t xml:space="preserve">Rank by PV</t>
  </si>
  <si>
    <t xml:space="preserve">Rank by risk</t>
  </si>
  <si>
    <t xml:space="preserve">Verdict</t>
  </si>
  <si>
    <t xml:space="preserve">Recommended structure:</t>
  </si>
  <si>
    <t xml:space="preserve">Advance PV shortfall vs recommended, USD:</t>
  </si>
  <si>
    <t xml:space="preserve">Open account PV shortfall vs recommended, USD:</t>
  </si>
  <si>
    <t xml:space="preserve">Is advance payment really best once the concession is counted?</t>
  </si>
  <si>
    <t xml:space="preserve">TASK E — UCP 600 documentary check on the confirmed sight LC presentation and its financial impact</t>
  </si>
  <si>
    <t xml:space="preserve">#</t>
  </si>
  <si>
    <t xml:space="preserve">Document / item presented</t>
  </si>
  <si>
    <t xml:space="preserve">LC requirement</t>
  </si>
  <si>
    <t xml:space="preserve">Presented as</t>
  </si>
  <si>
    <t xml:space="preserve">Discrepancy?</t>
  </si>
  <si>
    <t xml:space="preserve">UCP 600 basis</t>
  </si>
  <si>
    <t xml:space="preserve">Why it fails</t>
  </si>
  <si>
    <t xml:space="preserve">Commercial invoice</t>
  </si>
  <si>
    <t xml:space="preserve">Signed invoice for the LC amount (USD 600,000)</t>
  </si>
  <si>
    <t xml:space="preserve">Shows USD 605,000</t>
  </si>
  <si>
    <t xml:space="preserve">YES</t>
  </si>
  <si>
    <t xml:space="preserve">Art. 18(b) — a nominated/confirming bank may refuse an invoice issued for an amount in excess of the credit; Art. 14(d) data must not conflict</t>
  </si>
  <si>
    <t xml:space="preserve">Invoice exceeds the LC amount by USD 5,000; no ±tolerance wording ("about"/"approximately") in the LC (Art. 30).</t>
  </si>
  <si>
    <t xml:space="preserve">Ocean bill of lading</t>
  </si>
  <si>
    <t xml:space="preserve">Full set of CLEAN SHIPPED ON BOARD B/L</t>
  </si>
  <si>
    <t xml:space="preserve">Marked "received for shipment"</t>
  </si>
  <si>
    <t xml:space="preserve">Art. 20(a)(ii) — B/L must indicate goods shipped on board a named vessel by pre-printed wording or an on-board notation with date</t>
  </si>
  <si>
    <t xml:space="preserve">"Received for shipment" only proves receipt by the carrier, not loading; no on-board date, so shipment cannot be evidenced.</t>
  </si>
  <si>
    <t xml:space="preserve">Marine insurance policy</t>
  </si>
  <si>
    <t xml:space="preserve">Cover for 110% of CIF value</t>
  </si>
  <si>
    <t xml:space="preserve">Covers 100% of value</t>
  </si>
  <si>
    <t xml:space="preserve">Art. 28(f)(ii) — minimum cover is 110% of CIF/CIP value when the credit so requires (and even by default)</t>
  </si>
  <si>
    <t xml:space="preserve">Under-insured by 10 percentage points; the bank/buyer are not protected for the full landed value plus expected profit.</t>
  </si>
  <si>
    <t xml:space="preserve">Certificate of origin</t>
  </si>
  <si>
    <t xml:space="preserve">Consistent with other documents</t>
  </si>
  <si>
    <t xml:space="preserve">Consistent</t>
  </si>
  <si>
    <t xml:space="preserve">NO</t>
  </si>
  <si>
    <t xml:space="preserve">Art. 14(d)/(e) — data need not be identical but must not conflict</t>
  </si>
  <si>
    <t xml:space="preserve">Complies — no action.</t>
  </si>
  <si>
    <t xml:space="preserve">Shipment date</t>
  </si>
  <si>
    <t xml:space="preserve">On or before the LC's latest shipment date</t>
  </si>
  <si>
    <t xml:space="preserve">Later than the latest shipment date</t>
  </si>
  <si>
    <t xml:space="preserve">Art. 14(c) and the LC's latest-shipment field (MT700 44C); late shipment is a classic discrepancy</t>
  </si>
  <si>
    <t xml:space="preserve">Documents dated after the latest shipment date cannot be honoured; also risks the Art. 14(c) 21-day presentation window and LC expiry.</t>
  </si>
  <si>
    <t xml:space="preserve">Packing list &amp; sight bill of exchange</t>
  </si>
  <si>
    <t xml:space="preserve">Required</t>
  </si>
  <si>
    <t xml:space="preserve">Presented (no issue stated)</t>
  </si>
  <si>
    <t xml:space="preserve">Art. 14</t>
  </si>
  <si>
    <t xml:space="preserve">Number of discrepancies found</t>
  </si>
  <si>
    <t xml:space="preserve">Discrepancy fee, USD (USD 90 × sets)</t>
  </si>
  <si>
    <t xml:space="preserve">FINANCIAL IMPACT ON THE SIGHT LC OPTION</t>
  </si>
  <si>
    <t xml:space="preserve">Line</t>
  </si>
  <si>
    <t xml:space="preserve">Compliant presentation</t>
  </si>
  <si>
    <t xml:space="preserve">Discrepant presentation</t>
  </si>
  <si>
    <t xml:space="preserve">Change</t>
  </si>
  <si>
    <t xml:space="preserve">Explanation</t>
  </si>
  <si>
    <t xml:space="preserve">Bank undertaking is lost (Art. 16 refusal) — payment now depends on the buyer's waiver, i.e. the buyer's own credit risk (open-account level).</t>
  </si>
  <si>
    <t xml:space="preserve">Expected loss, USD</t>
  </si>
  <si>
    <t xml:space="preserve">Probability × exposure.</t>
  </si>
  <si>
    <t xml:space="preserve">Discrepancy fee, USD</t>
  </si>
  <si>
    <t xml:space="preserve">USD 90 per set presented.</t>
  </si>
  <si>
    <t xml:space="preserve">Days to cash</t>
  </si>
  <si>
    <t xml:space="preserve">Waiver / re-presentation delay (scenario input).</t>
  </si>
  <si>
    <t xml:space="preserve">Net realisation (nominal), USD</t>
  </si>
  <si>
    <t xml:space="preserve">Extra expected loss and fee reduce the nominal figure.</t>
  </si>
  <si>
    <t xml:space="preserve">PV factor</t>
  </si>
  <si>
    <t xml:space="preserve">Longer wait lowers the PV factor.</t>
  </si>
  <si>
    <t xml:space="preserve">PV of net realisation, USD</t>
  </si>
  <si>
    <t xml:space="preserve">Combined effect.</t>
  </si>
  <si>
    <t xml:space="preserve">Sight LC drifts from best option to open-account-like economics.</t>
  </si>
  <si>
    <t xml:space="preserve">Rank among the five terms (PV)</t>
  </si>
  <si>
    <t xml:space="preserve">Recomputed rank of the discrepant LC against the other four terms.</t>
  </si>
  <si>
    <t xml:space="preserve">Cure actions: (1) re-issue invoice at USD 600,000; (2) obtain on-board notation with date on the B/L; (3) endorse insurance to 110% CIF; (5) request LC amendment extending latest shipment date and expiry BEFORE presenting — then the presentation is compliant and the confirming bank's undertaking is restored.</t>
  </si>
  <si>
    <t xml:space="preserve">SENSITIVITY — how the ranking moves with cost of capital and open-account default risk (all live formulas)</t>
  </si>
  <si>
    <t xml:space="preserve">PV of net realisation (USD) at different exporter costs of capital</t>
  </si>
  <si>
    <t xml:space="preserve">Best term at each rate</t>
  </si>
  <si>
    <t xml:space="preserve">Break-even default probability at which open account would equal the sight LC on PV</t>
  </si>
  <si>
    <t xml:space="preserve">OA net realisation before expected loss, USD</t>
  </si>
  <si>
    <t xml:space="preserve">Required OA net realisation to match sight-LC PV, USD</t>
  </si>
  <si>
    <t xml:space="preserve">Break-even default probability</t>
  </si>
  <si>
    <t xml:space="preserve">Interpretation</t>
  </si>
  <si>
    <t xml:space="preserve">Advance concession break-even: concession % at which advance payment equals sight-LC PV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</si>
</sst>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"/>
    <numFmt numFmtId="167" formatCode="0.00%"/>
    <numFmt numFmtId="168" formatCode="0"/>
    <numFmt numFmtId="169" formatCode="\$#,##0.00"/>
    <numFmt numFmtId="170" formatCode="\₹#,##0"/>
    <numFmt numFmtId="171" formatCode="0.0%"/>
    <numFmt numFmtId="172" formatCode="0.000000"/>
    <numFmt numFmtId="173" formatCode="General"/>
    <numFmt numFmtId="174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9"/>
      <name val="Courier New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PV of net realisation by payment term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TaskD_Summary!E4</c:f>
              <c:strCache>
                <c:ptCount val="1"/>
                <c:pt idx="0">
                  <c:v>PV of net realisation (USD)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TaskD_Summary!$A$5:$A$9</c:f>
              <c:strCache>
                <c:ptCount val="5"/>
                <c:pt idx="0">
                  <c:v>Advance payment (100%)</c:v>
                </c:pt>
                <c:pt idx="1">
                  <c:v>Confirmed LC at sight</c:v>
                </c:pt>
                <c:pt idx="2">
                  <c:v>Usance LC 90 days (unconfirmed)</c:v>
                </c:pt>
                <c:pt idx="3">
                  <c:v>Documentary collection D/A 90 days</c:v>
                </c:pt>
                <c:pt idx="4">
                  <c:v>Open account 90 days</c:v>
                </c:pt>
              </c:strCache>
            </c:strRef>
          </c:cat>
          <c:val>
            <c:numRef>
              <c:f>TaskD_Summary!$E$5:$E$9</c:f>
              <c:numCache>
                <c:formatCode>\$#,##0</c:formatCode>
                <c:ptCount val="5"/>
                <c:pt idx="0">
                  <c:v>569900</c:v>
                </c:pt>
                <c:pt idx="1">
                  <c:v>579735.294117647</c:v>
                </c:pt>
                <c:pt idx="2">
                  <c:v>567235.294117647</c:v>
                </c:pt>
                <c:pt idx="3">
                  <c:v>550029.411764706</c:v>
                </c:pt>
                <c:pt idx="4">
                  <c:v>527235.294117647</c:v>
                </c:pt>
              </c:numCache>
            </c:numRef>
          </c:val>
        </c:ser>
        <c:gapWidth val="150"/>
        <c:overlap val="0"/>
        <c:axId val="15798617"/>
        <c:axId val="2001865"/>
      </c:barChart>
      <c:catAx>
        <c:axId val="15798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1865"/>
        <c:crosses val="autoZero"/>
        <c:auto val="1"/>
        <c:lblAlgn val="ctr"/>
        <c:lblOffset val="100"/>
        <c:noMultiLvlLbl val="0"/>
      </c:catAx>
      <c:valAx>
        <c:axId val="20018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986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All-in cost % vs default probability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TaskD_Summary!G4</c:f>
              <c:strCache>
                <c:ptCount val="1"/>
                <c:pt idx="0">
                  <c:v>All-in cost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TaskD_Summary!$A$5:$A$9</c:f>
              <c:strCache>
                <c:ptCount val="5"/>
                <c:pt idx="0">
                  <c:v>Advance payment (100%)</c:v>
                </c:pt>
                <c:pt idx="1">
                  <c:v>Confirmed LC at sight</c:v>
                </c:pt>
                <c:pt idx="2">
                  <c:v>Usance LC 90 days (unconfirmed)</c:v>
                </c:pt>
                <c:pt idx="3">
                  <c:v>Documentary collection D/A 90 days</c:v>
                </c:pt>
                <c:pt idx="4">
                  <c:v>Open account 90 days</c:v>
                </c:pt>
              </c:strCache>
            </c:strRef>
          </c:cat>
          <c:val>
            <c:numRef>
              <c:f>TaskD_Summary!$G$5:$G$9</c:f>
              <c:numCache>
                <c:formatCode>0.00%</c:formatCode>
                <c:ptCount val="5"/>
                <c:pt idx="0">
                  <c:v>0.0501666666666667</c:v>
                </c:pt>
                <c:pt idx="1">
                  <c:v>0.0337745098039217</c:v>
                </c:pt>
                <c:pt idx="2">
                  <c:v>0.054607843137255</c:v>
                </c:pt>
                <c:pt idx="3">
                  <c:v>0.0832843137254902</c:v>
                </c:pt>
                <c:pt idx="4">
                  <c:v>0.121274509803922</c:v>
                </c:pt>
              </c:numCache>
            </c:numRef>
          </c:val>
        </c:ser>
        <c:ser>
          <c:idx val="1"/>
          <c:order val="1"/>
          <c:tx>
            <c:strRef>
              <c:f>TaskD_Summary!B4</c:f>
              <c:strCache>
                <c:ptCount val="1"/>
                <c:pt idx="0">
                  <c:v>Default probability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TaskD_Summary!$A$5:$A$9</c:f>
              <c:strCache>
                <c:ptCount val="5"/>
                <c:pt idx="0">
                  <c:v>Advance payment (100%)</c:v>
                </c:pt>
                <c:pt idx="1">
                  <c:v>Confirmed LC at sight</c:v>
                </c:pt>
                <c:pt idx="2">
                  <c:v>Usance LC 90 days (unconfirmed)</c:v>
                </c:pt>
                <c:pt idx="3">
                  <c:v>Documentary collection D/A 90 days</c:v>
                </c:pt>
                <c:pt idx="4">
                  <c:v>Open account 90 days</c:v>
                </c:pt>
              </c:strCache>
            </c:strRef>
          </c:cat>
          <c:val>
            <c:numRef>
              <c:f>TaskD_Summary!$B$5:$B$9</c:f>
              <c:numCache>
                <c:formatCode>0.0%</c:formatCode>
                <c:ptCount val="5"/>
                <c:pt idx="0">
                  <c:v>0</c:v>
                </c:pt>
                <c:pt idx="1">
                  <c:v>0.002</c:v>
                </c:pt>
                <c:pt idx="2">
                  <c:v>0.01</c:v>
                </c:pt>
                <c:pt idx="3">
                  <c:v>0.04</c:v>
                </c:pt>
                <c:pt idx="4">
                  <c:v>0.08</c:v>
                </c:pt>
              </c:numCache>
            </c:numRef>
          </c:val>
        </c:ser>
        <c:gapWidth val="150"/>
        <c:overlap val="0"/>
        <c:axId val="71396208"/>
        <c:axId val="62505335"/>
      </c:barChart>
      <c:catAx>
        <c:axId val="7139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05335"/>
        <c:crosses val="autoZero"/>
        <c:auto val="1"/>
        <c:lblAlgn val="ctr"/>
        <c:lblOffset val="100"/>
        <c:noMultiLvlLbl val="0"/>
      </c:catAx>
      <c:valAx>
        <c:axId val="625053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962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160920</xdr:rowOff>
    </xdr:from>
    <xdr:to>
      <xdr:col>4</xdr:col>
      <xdr:colOff>151200</xdr:colOff>
      <xdr:row>32</xdr:row>
      <xdr:rowOff>162000</xdr:rowOff>
    </xdr:to>
    <xdr:graphicFrame>
      <xdr:nvGraphicFramePr>
        <xdr:cNvPr id="0" name="Chart 1"/>
        <xdr:cNvGraphicFramePr/>
      </xdr:nvGraphicFramePr>
      <xdr:xfrm>
        <a:off x="0" y="3257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160920</xdr:rowOff>
    </xdr:from>
    <xdr:to>
      <xdr:col>9</xdr:col>
      <xdr:colOff>1560960</xdr:colOff>
      <xdr:row>32</xdr:row>
      <xdr:rowOff>162000</xdr:rowOff>
    </xdr:to>
    <xdr:graphicFrame>
      <xdr:nvGraphicFramePr>
        <xdr:cNvPr id="1" name="Chart 2"/>
        <xdr:cNvGraphicFramePr/>
      </xdr:nvGraphicFramePr>
      <xdr:xfrm>
        <a:off x="8458200" y="32576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/>
      <c r="C6" s="6"/>
      <c r="D6" s="6"/>
    </row>
    <row r="7" customFormat="false" ht="15" hidden="false" customHeight="false" outlineLevel="0" collapsed="false">
      <c r="A7" s="6" t="s">
        <v>8</v>
      </c>
      <c r="B7" s="7" t="n">
        <v>600000</v>
      </c>
      <c r="C7" s="8" t="s">
        <v>9</v>
      </c>
      <c r="D7" s="9" t="s">
        <v>10</v>
      </c>
    </row>
    <row r="8" customFormat="false" ht="15" hidden="false" customHeight="false" outlineLevel="0" collapsed="false">
      <c r="A8" s="6" t="s">
        <v>11</v>
      </c>
      <c r="B8" s="7" t="n">
        <v>420000</v>
      </c>
      <c r="C8" s="8" t="s">
        <v>9</v>
      </c>
      <c r="D8" s="9" t="s">
        <v>10</v>
      </c>
    </row>
    <row r="9" customFormat="false" ht="15" hidden="false" customHeight="false" outlineLevel="0" collapsed="false">
      <c r="A9" s="6" t="s">
        <v>12</v>
      </c>
      <c r="B9" s="10" t="n">
        <v>60</v>
      </c>
      <c r="C9" s="8" t="s">
        <v>13</v>
      </c>
      <c r="D9" s="9" t="s">
        <v>10</v>
      </c>
    </row>
    <row r="10" customFormat="false" ht="15" hidden="false" customHeight="false" outlineLevel="0" collapsed="false">
      <c r="A10" s="6" t="s">
        <v>14</v>
      </c>
      <c r="B10" s="10" t="n">
        <v>90</v>
      </c>
      <c r="C10" s="8" t="s">
        <v>13</v>
      </c>
      <c r="D10" s="9" t="s">
        <v>10</v>
      </c>
    </row>
    <row r="11" customFormat="false" ht="15" hidden="false" customHeight="false" outlineLevel="0" collapsed="false">
      <c r="A11" s="6" t="s">
        <v>15</v>
      </c>
      <c r="B11" s="11" t="n">
        <v>83.5</v>
      </c>
      <c r="C11" s="8" t="s">
        <v>16</v>
      </c>
      <c r="D11" s="9" t="s">
        <v>17</v>
      </c>
    </row>
    <row r="12" customFormat="false" ht="15" hidden="false" customHeight="false" outlineLevel="0" collapsed="false">
      <c r="A12" s="6" t="s">
        <v>18</v>
      </c>
      <c r="B12" s="10" t="n">
        <v>360</v>
      </c>
      <c r="C12" s="8" t="s">
        <v>13</v>
      </c>
      <c r="D12" s="9" t="s">
        <v>10</v>
      </c>
    </row>
    <row r="13" customFormat="false" ht="15" hidden="false" customHeight="false" outlineLevel="0" collapsed="false">
      <c r="A13" s="6" t="s">
        <v>19</v>
      </c>
      <c r="B13" s="12" t="n">
        <v>0.05</v>
      </c>
      <c r="C13" s="8" t="s">
        <v>20</v>
      </c>
      <c r="D13" s="9" t="s">
        <v>21</v>
      </c>
    </row>
    <row r="14" customFormat="false" ht="15" hidden="false" customHeight="false" outlineLevel="0" collapsed="false">
      <c r="A14" s="5" t="s">
        <v>22</v>
      </c>
      <c r="B14" s="6"/>
      <c r="C14" s="6"/>
      <c r="D14" s="6"/>
    </row>
    <row r="15" customFormat="false" ht="15" hidden="false" customHeight="false" outlineLevel="0" collapsed="false">
      <c r="A15" s="6" t="s">
        <v>23</v>
      </c>
      <c r="B15" s="7" t="n">
        <v>150</v>
      </c>
      <c r="C15" s="8" t="s">
        <v>9</v>
      </c>
      <c r="D15" s="9" t="s">
        <v>24</v>
      </c>
    </row>
    <row r="16" customFormat="false" ht="15" hidden="false" customHeight="false" outlineLevel="0" collapsed="false">
      <c r="A16" s="6" t="s">
        <v>25</v>
      </c>
      <c r="B16" s="12" t="n">
        <v>0.0015</v>
      </c>
      <c r="C16" s="8" t="s">
        <v>26</v>
      </c>
      <c r="D16" s="9" t="s">
        <v>24</v>
      </c>
    </row>
    <row r="17" customFormat="false" ht="15" hidden="false" customHeight="false" outlineLevel="0" collapsed="false">
      <c r="A17" s="6" t="s">
        <v>27</v>
      </c>
      <c r="B17" s="13" t="n">
        <v>2</v>
      </c>
      <c r="C17" s="8" t="s">
        <v>28</v>
      </c>
      <c r="D17" s="9" t="s">
        <v>29</v>
      </c>
    </row>
    <row r="18" customFormat="false" ht="15" hidden="false" customHeight="false" outlineLevel="0" collapsed="false">
      <c r="A18" s="6" t="s">
        <v>30</v>
      </c>
      <c r="B18" s="12" t="n">
        <v>0.002</v>
      </c>
      <c r="C18" s="8" t="s">
        <v>20</v>
      </c>
      <c r="D18" s="9" t="s">
        <v>24</v>
      </c>
    </row>
    <row r="19" customFormat="false" ht="15" hidden="false" customHeight="false" outlineLevel="0" collapsed="false">
      <c r="A19" s="6" t="s">
        <v>31</v>
      </c>
      <c r="B19" s="7" t="n">
        <v>120</v>
      </c>
      <c r="C19" s="8" t="s">
        <v>9</v>
      </c>
      <c r="D19" s="9" t="s">
        <v>24</v>
      </c>
    </row>
    <row r="20" customFormat="false" ht="15" hidden="false" customHeight="false" outlineLevel="0" collapsed="false">
      <c r="A20" s="6" t="s">
        <v>32</v>
      </c>
      <c r="B20" s="12" t="n">
        <v>0.0015</v>
      </c>
      <c r="C20" s="8" t="s">
        <v>20</v>
      </c>
      <c r="D20" s="9" t="s">
        <v>24</v>
      </c>
    </row>
    <row r="21" customFormat="false" ht="15" hidden="false" customHeight="false" outlineLevel="0" collapsed="false">
      <c r="A21" s="6" t="s">
        <v>33</v>
      </c>
      <c r="B21" s="7" t="n">
        <v>150</v>
      </c>
      <c r="C21" s="8" t="s">
        <v>9</v>
      </c>
      <c r="D21" s="9" t="s">
        <v>24</v>
      </c>
    </row>
    <row r="22" customFormat="false" ht="15" hidden="false" customHeight="false" outlineLevel="0" collapsed="false">
      <c r="A22" s="6" t="s">
        <v>34</v>
      </c>
      <c r="B22" s="7" t="n">
        <v>100</v>
      </c>
      <c r="C22" s="8" t="s">
        <v>9</v>
      </c>
      <c r="D22" s="9" t="s">
        <v>24</v>
      </c>
    </row>
    <row r="23" customFormat="false" ht="15" hidden="false" customHeight="false" outlineLevel="0" collapsed="false">
      <c r="A23" s="6" t="s">
        <v>35</v>
      </c>
      <c r="B23" s="7" t="n">
        <v>90</v>
      </c>
      <c r="C23" s="8" t="s">
        <v>9</v>
      </c>
      <c r="D23" s="9" t="s">
        <v>24</v>
      </c>
    </row>
    <row r="24" customFormat="false" ht="15" hidden="false" customHeight="false" outlineLevel="0" collapsed="false">
      <c r="A24" s="5" t="s">
        <v>36</v>
      </c>
      <c r="B24" s="6"/>
      <c r="C24" s="6"/>
      <c r="D24" s="6"/>
    </row>
    <row r="25" customFormat="false" ht="15" hidden="false" customHeight="false" outlineLevel="0" collapsed="false">
      <c r="A25" s="6" t="s">
        <v>37</v>
      </c>
      <c r="B25" s="12" t="n">
        <v>0.09</v>
      </c>
      <c r="C25" s="8" t="s">
        <v>20</v>
      </c>
      <c r="D25" s="9" t="s">
        <v>38</v>
      </c>
    </row>
    <row r="26" customFormat="false" ht="15" hidden="false" customHeight="false" outlineLevel="0" collapsed="false">
      <c r="A26" s="6" t="s">
        <v>39</v>
      </c>
      <c r="B26" s="12" t="n">
        <v>0.095</v>
      </c>
      <c r="C26" s="8" t="s">
        <v>20</v>
      </c>
      <c r="D26" s="9" t="s">
        <v>38</v>
      </c>
    </row>
    <row r="27" customFormat="false" ht="15" hidden="false" customHeight="false" outlineLevel="0" collapsed="false">
      <c r="A27" s="6" t="s">
        <v>40</v>
      </c>
      <c r="B27" s="12" t="n">
        <v>0.03</v>
      </c>
      <c r="C27" s="8" t="s">
        <v>20</v>
      </c>
      <c r="D27" s="9" t="s">
        <v>38</v>
      </c>
    </row>
    <row r="28" customFormat="false" ht="15" hidden="false" customHeight="false" outlineLevel="0" collapsed="false">
      <c r="A28" s="6" t="s">
        <v>41</v>
      </c>
      <c r="B28" s="12" t="n">
        <v>0.065</v>
      </c>
      <c r="C28" s="8" t="s">
        <v>20</v>
      </c>
      <c r="D28" s="9" t="s">
        <v>42</v>
      </c>
    </row>
    <row r="29" customFormat="false" ht="15" hidden="false" customHeight="false" outlineLevel="0" collapsed="false">
      <c r="A29" s="6" t="s">
        <v>43</v>
      </c>
      <c r="B29" s="12" t="n">
        <v>0.12</v>
      </c>
      <c r="C29" s="8" t="s">
        <v>20</v>
      </c>
      <c r="D29" s="9" t="s">
        <v>38</v>
      </c>
    </row>
    <row r="30" customFormat="false" ht="15" hidden="false" customHeight="false" outlineLevel="0" collapsed="false">
      <c r="A30" s="6" t="s">
        <v>44</v>
      </c>
      <c r="B30" s="14" t="n">
        <f aca="false">B25-B27</f>
        <v>0.06</v>
      </c>
      <c r="C30" s="8" t="s">
        <v>20</v>
      </c>
      <c r="D30" s="9" t="s">
        <v>45</v>
      </c>
    </row>
    <row r="31" customFormat="false" ht="15" hidden="false" customHeight="false" outlineLevel="0" collapsed="false">
      <c r="A31" s="6" t="s">
        <v>46</v>
      </c>
      <c r="B31" s="14" t="n">
        <f aca="false">B26-B27</f>
        <v>0.065</v>
      </c>
      <c r="C31" s="8" t="s">
        <v>20</v>
      </c>
      <c r="D31" s="9" t="s">
        <v>45</v>
      </c>
    </row>
    <row r="32" customFormat="false" ht="15" hidden="false" customHeight="false" outlineLevel="0" collapsed="false">
      <c r="A32" s="5" t="s">
        <v>47</v>
      </c>
      <c r="B32" s="6"/>
      <c r="C32" s="6"/>
      <c r="D32" s="6"/>
    </row>
    <row r="33" customFormat="false" ht="15" hidden="false" customHeight="false" outlineLevel="0" collapsed="false">
      <c r="A33" s="6" t="s">
        <v>48</v>
      </c>
      <c r="B33" s="12" t="n">
        <v>0</v>
      </c>
      <c r="C33" s="8" t="s">
        <v>20</v>
      </c>
      <c r="D33" s="9" t="s">
        <v>21</v>
      </c>
    </row>
    <row r="34" customFormat="false" ht="15" hidden="false" customHeight="false" outlineLevel="0" collapsed="false">
      <c r="A34" s="6" t="s">
        <v>49</v>
      </c>
      <c r="B34" s="12" t="n">
        <v>0.002</v>
      </c>
      <c r="C34" s="8" t="s">
        <v>20</v>
      </c>
      <c r="D34" s="9" t="s">
        <v>21</v>
      </c>
    </row>
    <row r="35" customFormat="false" ht="15" hidden="false" customHeight="false" outlineLevel="0" collapsed="false">
      <c r="A35" s="6" t="s">
        <v>50</v>
      </c>
      <c r="B35" s="12" t="n">
        <v>0.01</v>
      </c>
      <c r="C35" s="8" t="s">
        <v>20</v>
      </c>
      <c r="D35" s="9" t="s">
        <v>21</v>
      </c>
    </row>
    <row r="36" customFormat="false" ht="15" hidden="false" customHeight="false" outlineLevel="0" collapsed="false">
      <c r="A36" s="6" t="s">
        <v>51</v>
      </c>
      <c r="B36" s="12" t="n">
        <v>0.04</v>
      </c>
      <c r="C36" s="8" t="s">
        <v>20</v>
      </c>
      <c r="D36" s="9" t="s">
        <v>21</v>
      </c>
    </row>
    <row r="37" customFormat="false" ht="15" hidden="false" customHeight="false" outlineLevel="0" collapsed="false">
      <c r="A37" s="6" t="s">
        <v>52</v>
      </c>
      <c r="B37" s="12" t="n">
        <v>0.08</v>
      </c>
      <c r="C37" s="8" t="s">
        <v>20</v>
      </c>
      <c r="D37" s="9" t="s">
        <v>21</v>
      </c>
    </row>
    <row r="38" customFormat="false" ht="15" hidden="false" customHeight="false" outlineLevel="0" collapsed="false">
      <c r="A38" s="5" t="s">
        <v>53</v>
      </c>
      <c r="B38" s="6"/>
      <c r="C38" s="6"/>
      <c r="D38" s="6"/>
    </row>
    <row r="39" customFormat="false" ht="15" hidden="false" customHeight="false" outlineLevel="0" collapsed="false">
      <c r="A39" s="6" t="s">
        <v>54</v>
      </c>
      <c r="B39" s="10" t="n">
        <v>1</v>
      </c>
      <c r="C39" s="8" t="s">
        <v>55</v>
      </c>
      <c r="D39" s="9" t="s">
        <v>56</v>
      </c>
    </row>
    <row r="40" customFormat="false" ht="15" hidden="false" customHeight="false" outlineLevel="0" collapsed="false">
      <c r="A40" s="6" t="s">
        <v>57</v>
      </c>
      <c r="B40" s="15" t="n">
        <v>0.08</v>
      </c>
      <c r="C40" s="8" t="s">
        <v>20</v>
      </c>
      <c r="D40" s="9" t="s">
        <v>58</v>
      </c>
    </row>
    <row r="41" customFormat="false" ht="15" hidden="false" customHeight="false" outlineLevel="0" collapsed="false">
      <c r="A41" s="6" t="s">
        <v>59</v>
      </c>
      <c r="B41" s="13" t="n">
        <v>10</v>
      </c>
      <c r="C41" s="8" t="s">
        <v>13</v>
      </c>
      <c r="D41" s="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— Eswar Mahalingam · IB Module 6 ·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4" t="s">
        <v>61</v>
      </c>
      <c r="B4" s="4" t="s">
        <v>3</v>
      </c>
      <c r="C4" s="4" t="s">
        <v>4</v>
      </c>
      <c r="D4" s="4" t="s">
        <v>62</v>
      </c>
    </row>
    <row r="5" customFormat="false" ht="15" hidden="false" customHeight="false" outlineLevel="0" collapsed="false">
      <c r="A5" s="8" t="s">
        <v>63</v>
      </c>
      <c r="B5" s="8" t="s">
        <v>64</v>
      </c>
      <c r="C5" s="16" t="n">
        <f aca="false">Assumptions!$B$8</f>
        <v>420000</v>
      </c>
      <c r="D5" s="17" t="s">
        <v>65</v>
      </c>
    </row>
    <row r="6" customFormat="false" ht="15" hidden="false" customHeight="false" outlineLevel="0" collapsed="false">
      <c r="A6" s="8" t="s">
        <v>66</v>
      </c>
      <c r="B6" s="8" t="s">
        <v>67</v>
      </c>
      <c r="C6" s="14" t="n">
        <f aca="false">Assumptions!$B$25</f>
        <v>0.09</v>
      </c>
      <c r="D6" s="17" t="s">
        <v>68</v>
      </c>
    </row>
    <row r="7" customFormat="false" ht="15" hidden="false" customHeight="false" outlineLevel="0" collapsed="false">
      <c r="A7" s="8" t="s">
        <v>69</v>
      </c>
      <c r="B7" s="8" t="s">
        <v>70</v>
      </c>
      <c r="C7" s="14" t="n">
        <f aca="false">Assumptions!$B$27</f>
        <v>0.03</v>
      </c>
      <c r="D7" s="17" t="s">
        <v>71</v>
      </c>
    </row>
    <row r="8" customFormat="false" ht="15" hidden="false" customHeight="false" outlineLevel="0" collapsed="false">
      <c r="A8" s="8" t="s">
        <v>72</v>
      </c>
      <c r="B8" s="8" t="s">
        <v>73</v>
      </c>
      <c r="C8" s="14" t="n">
        <f aca="false">C6-C7</f>
        <v>0.06</v>
      </c>
      <c r="D8" s="17" t="s">
        <v>74</v>
      </c>
    </row>
    <row r="9" customFormat="false" ht="15" hidden="false" customHeight="false" outlineLevel="0" collapsed="false">
      <c r="A9" s="8" t="s">
        <v>75</v>
      </c>
      <c r="B9" s="8" t="s">
        <v>76</v>
      </c>
      <c r="C9" s="18" t="n">
        <f aca="false">Assumptions!$B$9</f>
        <v>60</v>
      </c>
      <c r="D9" s="17" t="s">
        <v>77</v>
      </c>
    </row>
    <row r="10" customFormat="false" ht="15" hidden="false" customHeight="false" outlineLevel="0" collapsed="false">
      <c r="A10" s="8" t="s">
        <v>78</v>
      </c>
      <c r="B10" s="8" t="s">
        <v>79</v>
      </c>
      <c r="C10" s="18" t="n">
        <f aca="false">Assumptions!$B$12</f>
        <v>360</v>
      </c>
      <c r="D10" s="17" t="s">
        <v>80</v>
      </c>
    </row>
    <row r="11" customFormat="false" ht="15" hidden="false" customHeight="false" outlineLevel="0" collapsed="false">
      <c r="A11" s="8" t="s">
        <v>81</v>
      </c>
      <c r="B11" s="8" t="s">
        <v>82</v>
      </c>
      <c r="C11" s="19" t="n">
        <f aca="false">C5*C8*C9/C10</f>
        <v>4200</v>
      </c>
      <c r="D11" s="17" t="s">
        <v>83</v>
      </c>
    </row>
    <row r="12" customFormat="false" ht="15" hidden="false" customHeight="false" outlineLevel="0" collapsed="false">
      <c r="A12" s="8" t="s">
        <v>84</v>
      </c>
      <c r="B12" s="8" t="s">
        <v>85</v>
      </c>
      <c r="C12" s="20" t="n">
        <f aca="false">C11*Assumptions!$B$11</f>
        <v>350700</v>
      </c>
      <c r="D12" s="17" t="s">
        <v>86</v>
      </c>
    </row>
    <row r="13" customFormat="false" ht="15" hidden="false" customHeight="false" outlineLevel="0" collapsed="false">
      <c r="A13" s="8" t="s">
        <v>87</v>
      </c>
      <c r="B13" s="8" t="s">
        <v>88</v>
      </c>
      <c r="C13" s="21" t="n">
        <f aca="false">C5*C6*C9/C10</f>
        <v>6300</v>
      </c>
      <c r="D13" s="17" t="s">
        <v>89</v>
      </c>
    </row>
    <row r="14" customFormat="false" ht="15" hidden="false" customHeight="false" outlineLevel="0" collapsed="false">
      <c r="A14" s="8" t="s">
        <v>90</v>
      </c>
      <c r="B14" s="8" t="s">
        <v>91</v>
      </c>
      <c r="C14" s="21" t="n">
        <f aca="false">C13-C11</f>
        <v>2100</v>
      </c>
      <c r="D14" s="17" t="s">
        <v>92</v>
      </c>
    </row>
    <row r="16" customFormat="false" ht="15" hidden="false" customHeight="false" outlineLevel="0" collapsed="false">
      <c r="A16" s="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— Eswar Mahalingam · IB Module 6 ·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24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4" t="s">
        <v>95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</row>
    <row r="5" customFormat="false" ht="30" hidden="false" customHeight="true" outlineLevel="0" collapsed="false">
      <c r="A5" s="8" t="s">
        <v>96</v>
      </c>
      <c r="B5" s="22" t="s">
        <v>97</v>
      </c>
      <c r="C5" s="22" t="s">
        <v>98</v>
      </c>
      <c r="D5" s="22" t="s">
        <v>99</v>
      </c>
      <c r="E5" s="22" t="s">
        <v>100</v>
      </c>
      <c r="F5" s="22" t="s">
        <v>101</v>
      </c>
    </row>
    <row r="6" customFormat="false" ht="15" hidden="false" customHeight="false" outlineLevel="0" collapsed="false">
      <c r="A6" s="8" t="s">
        <v>102</v>
      </c>
      <c r="B6" s="23" t="n">
        <v>0</v>
      </c>
      <c r="C6" s="23" t="n">
        <f aca="false">Assumptions!$B$9</f>
        <v>60</v>
      </c>
      <c r="D6" s="23" t="n">
        <f aca="false">Assumptions!$B$9</f>
        <v>60</v>
      </c>
      <c r="E6" s="23" t="n">
        <f aca="false">Assumptions!$B$9</f>
        <v>60</v>
      </c>
      <c r="F6" s="23" t="n">
        <f aca="false">Assumptions!$B$9</f>
        <v>60</v>
      </c>
    </row>
    <row r="7" customFormat="false" ht="30" hidden="false" customHeight="true" outlineLevel="0" collapsed="false">
      <c r="A7" s="8" t="s">
        <v>103</v>
      </c>
      <c r="B7" s="22" t="s">
        <v>104</v>
      </c>
      <c r="C7" s="22" t="s">
        <v>105</v>
      </c>
      <c r="D7" s="22" t="s">
        <v>106</v>
      </c>
      <c r="E7" s="22" t="s">
        <v>107</v>
      </c>
      <c r="F7" s="22" t="s">
        <v>107</v>
      </c>
    </row>
    <row r="8" customFormat="false" ht="15" hidden="false" customHeight="false" outlineLevel="0" collapsed="false">
      <c r="A8" s="24" t="s">
        <v>108</v>
      </c>
      <c r="B8" s="25" t="n">
        <f aca="false">Assumptions!$B$7*(1-Assumptions!$B$13)</f>
        <v>570000</v>
      </c>
      <c r="C8" s="25" t="n">
        <f aca="false">Assumptions!$B$7</f>
        <v>600000</v>
      </c>
      <c r="D8" s="25" t="n">
        <f aca="false">Assumptions!$B$7</f>
        <v>600000</v>
      </c>
      <c r="E8" s="25" t="n">
        <f aca="false">Assumptions!$B$7</f>
        <v>600000</v>
      </c>
      <c r="F8" s="25" t="n">
        <f aca="false">Assumptions!$B$7</f>
        <v>600000</v>
      </c>
    </row>
    <row r="9" customFormat="false" ht="15" hidden="false" customHeight="false" outlineLevel="0" collapsed="false">
      <c r="A9" s="8" t="s">
        <v>109</v>
      </c>
      <c r="B9" s="26" t="n">
        <v>0</v>
      </c>
      <c r="C9" s="26" t="n">
        <f aca="false">Assumptions!$B$15</f>
        <v>150</v>
      </c>
      <c r="D9" s="26" t="n">
        <f aca="false">Assumptions!$B$15</f>
        <v>150</v>
      </c>
      <c r="E9" s="26" t="n">
        <v>0</v>
      </c>
      <c r="F9" s="26" t="n">
        <v>0</v>
      </c>
    </row>
    <row r="10" customFormat="false" ht="15" hidden="false" customHeight="false" outlineLevel="0" collapsed="false">
      <c r="A10" s="8" t="s">
        <v>110</v>
      </c>
      <c r="B10" s="26" t="n">
        <v>0</v>
      </c>
      <c r="C10" s="26" t="n">
        <f aca="false">Assumptions!$B$16*Assumptions!$B$17*Assumptions!$B$7</f>
        <v>1800</v>
      </c>
      <c r="D10" s="26" t="n">
        <v>0</v>
      </c>
      <c r="E10" s="26" t="n">
        <v>0</v>
      </c>
      <c r="F10" s="26" t="n">
        <v>0</v>
      </c>
    </row>
    <row r="11" customFormat="false" ht="15" hidden="false" customHeight="false" outlineLevel="0" collapsed="false">
      <c r="A11" s="8" t="s">
        <v>111</v>
      </c>
      <c r="B11" s="26" t="n">
        <v>0</v>
      </c>
      <c r="C11" s="26" t="n">
        <f aca="false">Assumptions!$B$18*Assumptions!$B$7</f>
        <v>1200</v>
      </c>
      <c r="D11" s="26" t="n">
        <f aca="false">Assumptions!$B$18*Assumptions!$B$7</f>
        <v>1200</v>
      </c>
      <c r="E11" s="26" t="n">
        <v>0</v>
      </c>
      <c r="F11" s="26" t="n">
        <v>0</v>
      </c>
    </row>
    <row r="12" customFormat="false" ht="15" hidden="false" customHeight="false" outlineLevel="0" collapsed="false">
      <c r="A12" s="8" t="s">
        <v>112</v>
      </c>
      <c r="B12" s="26" t="n">
        <v>0</v>
      </c>
      <c r="C12" s="26" t="n">
        <v>0</v>
      </c>
      <c r="D12" s="26" t="n">
        <v>0</v>
      </c>
      <c r="E12" s="26" t="n">
        <f aca="false">Assumptions!$B$20*Assumptions!$B$7</f>
        <v>900</v>
      </c>
      <c r="F12" s="26" t="n">
        <v>0</v>
      </c>
    </row>
    <row r="13" customFormat="false" ht="15" hidden="false" customHeight="false" outlineLevel="0" collapsed="false">
      <c r="A13" s="8" t="s">
        <v>113</v>
      </c>
      <c r="B13" s="26" t="n">
        <v>0</v>
      </c>
      <c r="C13" s="26" t="n">
        <v>0</v>
      </c>
      <c r="D13" s="26" t="n">
        <v>0</v>
      </c>
      <c r="E13" s="26" t="n">
        <v>0</v>
      </c>
      <c r="F13" s="26" t="n">
        <f aca="false">Assumptions!$B$21</f>
        <v>150</v>
      </c>
    </row>
    <row r="14" customFormat="false" ht="15" hidden="false" customHeight="false" outlineLevel="0" collapsed="false">
      <c r="A14" s="8" t="s">
        <v>114</v>
      </c>
      <c r="B14" s="26" t="n">
        <f aca="false">Assumptions!$B$22</f>
        <v>100</v>
      </c>
      <c r="C14" s="26" t="n">
        <v>0</v>
      </c>
      <c r="D14" s="26" t="n">
        <v>0</v>
      </c>
      <c r="E14" s="26" t="n">
        <v>0</v>
      </c>
      <c r="F14" s="26" t="n">
        <v>0</v>
      </c>
    </row>
    <row r="15" customFormat="false" ht="15" hidden="false" customHeight="false" outlineLevel="0" collapsed="false">
      <c r="A15" s="8" t="s">
        <v>115</v>
      </c>
      <c r="B15" s="26" t="n">
        <v>0</v>
      </c>
      <c r="C15" s="26" t="n">
        <f aca="false">Assumptions!$B$19</f>
        <v>120</v>
      </c>
      <c r="D15" s="26" t="n">
        <f aca="false">Assumptions!$B$19</f>
        <v>120</v>
      </c>
      <c r="E15" s="26" t="n">
        <f aca="false">Assumptions!$B$19</f>
        <v>120</v>
      </c>
      <c r="F15" s="26" t="n">
        <f aca="false">Assumptions!$B$19</f>
        <v>120</v>
      </c>
    </row>
    <row r="16" customFormat="false" ht="15" hidden="false" customHeight="false" outlineLevel="0" collapsed="false">
      <c r="A16" s="24" t="s">
        <v>116</v>
      </c>
      <c r="B16" s="25" t="n">
        <f aca="false">SUM(B9:B15)</f>
        <v>100</v>
      </c>
      <c r="C16" s="25" t="n">
        <f aca="false">SUM(C9:C15)</f>
        <v>3270</v>
      </c>
      <c r="D16" s="25" t="n">
        <f aca="false">SUM(D9:D15)</f>
        <v>1470</v>
      </c>
      <c r="E16" s="25" t="n">
        <f aca="false">SUM(E9:E15)</f>
        <v>1020</v>
      </c>
      <c r="F16" s="25" t="n">
        <f aca="false">SUM(F9:F15)</f>
        <v>270</v>
      </c>
    </row>
    <row r="17" customFormat="false" ht="42" hidden="false" customHeight="true" outlineLevel="0" collapsed="false">
      <c r="A17" s="8" t="s">
        <v>117</v>
      </c>
      <c r="B17" s="26" t="n">
        <v>0</v>
      </c>
      <c r="C17" s="26" t="n">
        <v>0</v>
      </c>
      <c r="D17" s="26" t="n">
        <f aca="false">Assumptions!$B$7*Assumptions!$B$28*Assumptions!$B$10/Assumptions!$B$12</f>
        <v>9750</v>
      </c>
      <c r="E17" s="26" t="n">
        <f aca="false">Assumptions!$B$7*Assumptions!$B$31*Assumptions!$B$10/Assumptions!$B$12</f>
        <v>9750</v>
      </c>
      <c r="F17" s="26" t="n">
        <f aca="false">Assumptions!$B$7*Assumptions!$B$31*Assumptions!$B$10/Assumptions!$B$12</f>
        <v>9750</v>
      </c>
    </row>
    <row r="18" customFormat="false" ht="15" hidden="false" customHeight="false" outlineLevel="0" collapsed="false">
      <c r="A18" s="8" t="s">
        <v>118</v>
      </c>
      <c r="B18" s="26" t="n">
        <v>0</v>
      </c>
      <c r="C18" s="26" t="n">
        <f aca="false">TaskA_PackingCredit!$C$11</f>
        <v>4200</v>
      </c>
      <c r="D18" s="26" t="n">
        <f aca="false">TaskA_PackingCredit!$C$11</f>
        <v>4200</v>
      </c>
      <c r="E18" s="26" t="n">
        <f aca="false">TaskA_PackingCredit!$C$11</f>
        <v>4200</v>
      </c>
      <c r="F18" s="26" t="n">
        <f aca="false">TaskA_PackingCredit!$C$11</f>
        <v>4200</v>
      </c>
    </row>
    <row r="19" customFormat="false" ht="15" hidden="false" customHeight="false" outlineLevel="0" collapsed="false">
      <c r="A19" s="8" t="s">
        <v>119</v>
      </c>
      <c r="B19" s="27" t="n">
        <f aca="false">Assumptions!$B$33</f>
        <v>0</v>
      </c>
      <c r="C19" s="27" t="n">
        <f aca="false">Assumptions!$B$34</f>
        <v>0.002</v>
      </c>
      <c r="D19" s="27" t="n">
        <f aca="false">Assumptions!$B$35</f>
        <v>0.01</v>
      </c>
      <c r="E19" s="27" t="n">
        <f aca="false">Assumptions!$B$36</f>
        <v>0.04</v>
      </c>
      <c r="F19" s="27" t="n">
        <f aca="false">Assumptions!$B$37</f>
        <v>0.08</v>
      </c>
    </row>
    <row r="20" customFormat="false" ht="15" hidden="false" customHeight="false" outlineLevel="0" collapsed="false">
      <c r="A20" s="8" t="s">
        <v>120</v>
      </c>
      <c r="B20" s="26" t="n">
        <f aca="false">B19*Assumptions!$B$7</f>
        <v>0</v>
      </c>
      <c r="C20" s="26" t="n">
        <f aca="false">C19*Assumptions!$B$7</f>
        <v>1200</v>
      </c>
      <c r="D20" s="26" t="n">
        <f aca="false">D19*Assumptions!$B$7</f>
        <v>6000</v>
      </c>
      <c r="E20" s="26" t="n">
        <f aca="false">E19*Assumptions!$B$7</f>
        <v>24000</v>
      </c>
      <c r="F20" s="26" t="n">
        <f aca="false">F19*Assumptions!$B$7</f>
        <v>48000</v>
      </c>
    </row>
    <row r="21" customFormat="false" ht="30" hidden="false" customHeight="true" outlineLevel="0" collapsed="false">
      <c r="A21" s="24" t="s">
        <v>121</v>
      </c>
      <c r="B21" s="25" t="n">
        <f aca="false">B8-B16-B17-B18-B20</f>
        <v>569900</v>
      </c>
      <c r="C21" s="25" t="n">
        <f aca="false">C8-C16-C17-C18-C20</f>
        <v>591330</v>
      </c>
      <c r="D21" s="25" t="n">
        <f aca="false">D8-D16-D17-D18-D20</f>
        <v>578580</v>
      </c>
      <c r="E21" s="25" t="n">
        <f aca="false">E8-E16-E17-E18-E20</f>
        <v>561030</v>
      </c>
      <c r="F21" s="25" t="n">
        <f aca="false">F8-F16-F17-F18-F20</f>
        <v>537780</v>
      </c>
    </row>
    <row r="22" customFormat="false" ht="15" hidden="false" customHeight="false" outlineLevel="0" collapsed="false">
      <c r="A22" s="8" t="s">
        <v>122</v>
      </c>
      <c r="B22" s="28" t="n">
        <f aca="false">B21*Assumptions!$B$11</f>
        <v>47586650</v>
      </c>
      <c r="C22" s="28" t="n">
        <f aca="false">C21*Assumptions!$B$11</f>
        <v>49376055</v>
      </c>
      <c r="D22" s="28" t="n">
        <f aca="false">D21*Assumptions!$B$11</f>
        <v>48311430</v>
      </c>
      <c r="E22" s="28" t="n">
        <f aca="false">E21*Assumptions!$B$11</f>
        <v>46846005</v>
      </c>
      <c r="F22" s="28" t="n">
        <f aca="false">F21*Assumptions!$B$11</f>
        <v>44904630</v>
      </c>
    </row>
    <row r="23" customFormat="false" ht="15" hidden="false" customHeight="false" outlineLevel="0" collapsed="false">
      <c r="A23" s="8" t="s">
        <v>123</v>
      </c>
      <c r="B23" s="23" t="n">
        <f aca="false">B6</f>
        <v>0</v>
      </c>
      <c r="C23" s="23" t="n">
        <f aca="false">C6</f>
        <v>60</v>
      </c>
      <c r="D23" s="23" t="n">
        <f aca="false">D6</f>
        <v>60</v>
      </c>
      <c r="E23" s="23" t="n">
        <f aca="false">E6</f>
        <v>60</v>
      </c>
      <c r="F23" s="23" t="n">
        <f aca="false">F6</f>
        <v>60</v>
      </c>
    </row>
    <row r="24" customFormat="false" ht="15" hidden="false" customHeight="false" outlineLevel="0" collapsed="false">
      <c r="A24" s="8" t="s">
        <v>124</v>
      </c>
      <c r="B24" s="29" t="n">
        <f aca="false">1/(1+Assumptions!$B$29*B23/Assumptions!$B$12)</f>
        <v>1</v>
      </c>
      <c r="C24" s="29" t="n">
        <f aca="false">1/(1+Assumptions!$B$29*C23/Assumptions!$B$12)</f>
        <v>0.980392156862745</v>
      </c>
      <c r="D24" s="29" t="n">
        <f aca="false">1/(1+Assumptions!$B$29*D23/Assumptions!$B$12)</f>
        <v>0.980392156862745</v>
      </c>
      <c r="E24" s="29" t="n">
        <f aca="false">1/(1+Assumptions!$B$29*E23/Assumptions!$B$12)</f>
        <v>0.980392156862745</v>
      </c>
      <c r="F24" s="29" t="n">
        <f aca="false">1/(1+Assumptions!$B$29*F23/Assumptions!$B$12)</f>
        <v>0.980392156862745</v>
      </c>
    </row>
    <row r="25" customFormat="false" ht="15" hidden="false" customHeight="false" outlineLevel="0" collapsed="false">
      <c r="A25" s="24" t="s">
        <v>125</v>
      </c>
      <c r="B25" s="25" t="n">
        <f aca="false">B21*B24</f>
        <v>569900</v>
      </c>
      <c r="C25" s="25" t="n">
        <f aca="false">C21*C24</f>
        <v>579735.294117647</v>
      </c>
      <c r="D25" s="25" t="n">
        <f aca="false">D21*D24</f>
        <v>567235.294117647</v>
      </c>
      <c r="E25" s="25" t="n">
        <f aca="false">E21*E24</f>
        <v>550029.411764706</v>
      </c>
      <c r="F25" s="25" t="n">
        <f aca="false">F21*F24</f>
        <v>527235.294117647</v>
      </c>
    </row>
    <row r="26" customFormat="false" ht="15" hidden="false" customHeight="false" outlineLevel="0" collapsed="false">
      <c r="A26" s="8" t="s">
        <v>126</v>
      </c>
      <c r="B26" s="28" t="n">
        <f aca="false">B25*Assumptions!$B$11</f>
        <v>47586650</v>
      </c>
      <c r="C26" s="28" t="n">
        <f aca="false">C25*Assumptions!$B$11</f>
        <v>48407897.0588235</v>
      </c>
      <c r="D26" s="28" t="n">
        <f aca="false">D25*Assumptions!$B$11</f>
        <v>47364147.0588235</v>
      </c>
      <c r="E26" s="28" t="n">
        <f aca="false">E25*Assumptions!$B$11</f>
        <v>45927455.8823529</v>
      </c>
      <c r="F26" s="28" t="n">
        <f aca="false">F25*Assumptions!$B$11</f>
        <v>44024147.0588235</v>
      </c>
    </row>
    <row r="27" customFormat="false" ht="15" hidden="false" customHeight="false" outlineLevel="0" collapsed="false">
      <c r="A27" s="24" t="s">
        <v>127</v>
      </c>
      <c r="B27" s="30" t="n">
        <f aca="false">(Assumptions!$B$7-B25)/Assumptions!$B$7</f>
        <v>0.0501666666666667</v>
      </c>
      <c r="C27" s="30" t="n">
        <f aca="false">(Assumptions!$B$7-C25)/Assumptions!$B$7</f>
        <v>0.0337745098039217</v>
      </c>
      <c r="D27" s="30" t="n">
        <f aca="false">(Assumptions!$B$7-D25)/Assumptions!$B$7</f>
        <v>0.054607843137255</v>
      </c>
      <c r="E27" s="30" t="n">
        <f aca="false">(Assumptions!$B$7-E25)/Assumptions!$B$7</f>
        <v>0.0832843137254902</v>
      </c>
      <c r="F27" s="30" t="n">
        <f aca="false">(Assumptions!$B$7-F25)/Assumptions!$B$7</f>
        <v>0.121274509803922</v>
      </c>
    </row>
    <row r="28" customFormat="false" ht="15" hidden="false" customHeight="false" outlineLevel="0" collapsed="false">
      <c r="A28" s="8" t="s">
        <v>128</v>
      </c>
      <c r="B28" s="26" t="n">
        <f aca="false">Assumptions!$B$7-B25</f>
        <v>30100</v>
      </c>
      <c r="C28" s="26" t="n">
        <f aca="false">Assumptions!$B$7-C25</f>
        <v>20264.705882353</v>
      </c>
      <c r="D28" s="26" t="n">
        <f aca="false">Assumptions!$B$7-D25</f>
        <v>32764.705882353</v>
      </c>
      <c r="E28" s="26" t="n">
        <f aca="false">Assumptions!$B$7-E25</f>
        <v>49970.5882352941</v>
      </c>
      <c r="F28" s="26" t="n">
        <f aca="false">Assumptions!$B$7-F25</f>
        <v>72764.705882353</v>
      </c>
    </row>
    <row r="29" customFormat="false" ht="15" hidden="false" customHeight="false" outlineLevel="0" collapsed="false">
      <c r="A29" s="24" t="s">
        <v>129</v>
      </c>
      <c r="B29" s="31" t="n">
        <f aca="false">RANK(B25,$B$25:$F$25,0)</f>
        <v>2</v>
      </c>
      <c r="C29" s="31" t="n">
        <f aca="false">RANK(C25,$B$25:$F$25,0)</f>
        <v>1</v>
      </c>
      <c r="D29" s="31" t="n">
        <f aca="false">RANK(D25,$B$25:$F$25,0)</f>
        <v>3</v>
      </c>
      <c r="E29" s="31" t="n">
        <f aca="false">RANK(E25,$B$25:$F$25,0)</f>
        <v>4</v>
      </c>
      <c r="F29" s="31" t="n">
        <f aca="false">RANK(F25,$B$25:$F$25,0)</f>
        <v>5</v>
      </c>
    </row>
    <row r="30" customFormat="false" ht="15" hidden="false" customHeight="false" outlineLevel="0" collapsed="false">
      <c r="A30" s="24" t="s">
        <v>130</v>
      </c>
      <c r="B30" s="31" t="n">
        <f aca="false">RANK(B19,$B$19:$F$19,1)</f>
        <v>1</v>
      </c>
      <c r="C30" s="31" t="n">
        <f aca="false">RANK(C19,$B$19:$F$19,1)</f>
        <v>2</v>
      </c>
      <c r="D30" s="31" t="n">
        <f aca="false">RANK(D19,$B$19:$F$19,1)</f>
        <v>3</v>
      </c>
      <c r="E30" s="31" t="n">
        <f aca="false">RANK(E19,$B$19:$F$19,1)</f>
        <v>4</v>
      </c>
      <c r="F30" s="31" t="n">
        <f aca="false">RANK(F19,$B$19:$F$19,1)</f>
        <v>5</v>
      </c>
    </row>
    <row r="31" customFormat="false" ht="15" hidden="false" customHeight="false" outlineLevel="0" collapsed="false">
      <c r="A31" s="8" t="s">
        <v>131</v>
      </c>
      <c r="B31" s="27" t="n">
        <f aca="false">IF(B28=0,0,B20/B28)</f>
        <v>0</v>
      </c>
      <c r="C31" s="27" t="n">
        <f aca="false">IF(C28=0,0,C20/C28)</f>
        <v>0.0592162554426703</v>
      </c>
      <c r="D31" s="27" t="n">
        <f aca="false">IF(D28=0,0,D20/D28)</f>
        <v>0.183123877917414</v>
      </c>
      <c r="E31" s="27" t="n">
        <f aca="false">IF(E28=0,0,E20/E28)</f>
        <v>0.4802825191289</v>
      </c>
      <c r="F31" s="27" t="n">
        <f aca="false">IF(F28=0,0,F20/F28)</f>
        <v>0.659660468876313</v>
      </c>
    </row>
    <row r="37" customFormat="false" ht="15" hidden="false" customHeight="false" outlineLevel="0" collapsed="false">
      <c r="A37" s="32" t="s">
        <v>132</v>
      </c>
    </row>
    <row r="38" customFormat="false" ht="15" hidden="false" customHeight="false" outlineLevel="0" collapsed="false">
      <c r="A38" s="8" t="s">
        <v>133</v>
      </c>
      <c r="B38" s="16" t="n">
        <f aca="false">Assumptions!$B$7*Assumptions!$B$13</f>
        <v>30000</v>
      </c>
      <c r="C38" s="16" t="n">
        <f aca="false">C16+C18+C20</f>
        <v>8670</v>
      </c>
      <c r="D38" s="8" t="str">
        <f aca="false">IF(B38&gt;C38,"YES — concession costs more than sight LC","NO")</f>
        <v>YES — concession costs more than sight LC</v>
      </c>
    </row>
    <row r="39" customFormat="false" ht="15" hidden="false" customHeight="false" outlineLevel="0" collapsed="false">
      <c r="A39" s="8" t="s">
        <v>134</v>
      </c>
      <c r="B39" s="8" t="str">
        <f aca="false">INDEX($B$4:$F$4,MATCH(1,$B$29:$F$29,0))</f>
        <v>Confirmed LC at sight</v>
      </c>
      <c r="C39" s="8"/>
      <c r="D39" s="8"/>
    </row>
    <row r="40" customFormat="false" ht="15" hidden="false" customHeight="false" outlineLevel="0" collapsed="false">
      <c r="A40" s="8" t="s">
        <v>135</v>
      </c>
      <c r="B40" s="8" t="str">
        <f aca="false">INDEX($B$4:$F$4,MATCH(1,$B$30:$F$30,0))</f>
        <v>Advance payment (100%)</v>
      </c>
      <c r="C40" s="8"/>
      <c r="D40" s="8"/>
    </row>
    <row r="41" customFormat="false" ht="15" hidden="false" customHeight="false" outlineLevel="0" collapsed="false">
      <c r="A41" s="8" t="s">
        <v>136</v>
      </c>
      <c r="B41" s="16" t="n">
        <f aca="false">LARGE($B$25:$F$25,1)-LARGE($B$25:$F$25,2)</f>
        <v>9835.29411764699</v>
      </c>
      <c r="C41" s="8"/>
      <c r="D41" s="8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— Eswar Mahalingam · IB Module 6 ·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20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4" t="s">
        <v>138</v>
      </c>
      <c r="B4" s="4" t="s">
        <v>119</v>
      </c>
      <c r="C4" s="4" t="s">
        <v>139</v>
      </c>
      <c r="D4" s="4" t="s">
        <v>140</v>
      </c>
      <c r="E4" s="4" t="s">
        <v>141</v>
      </c>
      <c r="F4" s="4" t="s">
        <v>142</v>
      </c>
      <c r="G4" s="4" t="s">
        <v>143</v>
      </c>
      <c r="H4" s="4" t="s">
        <v>144</v>
      </c>
      <c r="I4" s="4" t="s">
        <v>145</v>
      </c>
      <c r="J4" s="4" t="s">
        <v>146</v>
      </c>
    </row>
    <row r="5" customFormat="false" ht="15" hidden="false" customHeight="false" outlineLevel="0" collapsed="false">
      <c r="A5" s="33" t="str">
        <f aca="false">TaskB_C_Model!B4</f>
        <v>Advance payment (100%)</v>
      </c>
      <c r="B5" s="34" t="n">
        <f aca="false">TaskB_C_Model!B19</f>
        <v>0</v>
      </c>
      <c r="C5" s="35" t="n">
        <f aca="false">TaskB_C_Model!B20</f>
        <v>0</v>
      </c>
      <c r="D5" s="35" t="n">
        <f aca="false">TaskB_C_Model!B21</f>
        <v>569900</v>
      </c>
      <c r="E5" s="35" t="n">
        <f aca="false">TaskB_C_Model!B25</f>
        <v>569900</v>
      </c>
      <c r="F5" s="36" t="n">
        <f aca="false">TaskB_C_Model!B26</f>
        <v>47586650</v>
      </c>
      <c r="G5" s="37" t="n">
        <f aca="false">TaskB_C_Model!B27</f>
        <v>0.0501666666666667</v>
      </c>
      <c r="H5" s="38" t="n">
        <f aca="false">TaskB_C_Model!B29</f>
        <v>2</v>
      </c>
      <c r="I5" s="38" t="n">
        <f aca="false">TaskB_C_Model!B30</f>
        <v>1</v>
      </c>
      <c r="J5" s="39" t="str">
        <f aca="false">IF(H5=1,"RECOMMENDED",IF(H5=2,"Runner-up",IF(B5&gt;=0.04,"Reject — risk too high","Acceptable fallback")))</f>
        <v>Runner-up</v>
      </c>
    </row>
    <row r="6" customFormat="false" ht="15" hidden="false" customHeight="false" outlineLevel="0" collapsed="false">
      <c r="A6" s="33" t="str">
        <f aca="false">TaskB_C_Model!C4</f>
        <v>Confirmed LC at sight</v>
      </c>
      <c r="B6" s="34" t="n">
        <f aca="false">TaskB_C_Model!C19</f>
        <v>0.002</v>
      </c>
      <c r="C6" s="35" t="n">
        <f aca="false">TaskB_C_Model!C20</f>
        <v>1200</v>
      </c>
      <c r="D6" s="35" t="n">
        <f aca="false">TaskB_C_Model!C21</f>
        <v>591330</v>
      </c>
      <c r="E6" s="35" t="n">
        <f aca="false">TaskB_C_Model!C25</f>
        <v>579735.294117647</v>
      </c>
      <c r="F6" s="36" t="n">
        <f aca="false">TaskB_C_Model!C26</f>
        <v>48407897.0588235</v>
      </c>
      <c r="G6" s="37" t="n">
        <f aca="false">TaskB_C_Model!C27</f>
        <v>0.0337745098039217</v>
      </c>
      <c r="H6" s="38" t="n">
        <f aca="false">TaskB_C_Model!C29</f>
        <v>1</v>
      </c>
      <c r="I6" s="38" t="n">
        <f aca="false">TaskB_C_Model!C30</f>
        <v>2</v>
      </c>
      <c r="J6" s="39" t="str">
        <f aca="false">IF(H6=1,"RECOMMENDED",IF(H6=2,"Runner-up",IF(B6&gt;=0.04,"Reject — risk too high","Acceptable fallback")))</f>
        <v>RECOMMENDED</v>
      </c>
    </row>
    <row r="7" customFormat="false" ht="15" hidden="false" customHeight="false" outlineLevel="0" collapsed="false">
      <c r="A7" s="33" t="str">
        <f aca="false">TaskB_C_Model!D4</f>
        <v>Usance LC 90 days (unconfirmed)</v>
      </c>
      <c r="B7" s="34" t="n">
        <f aca="false">TaskB_C_Model!D19</f>
        <v>0.01</v>
      </c>
      <c r="C7" s="35" t="n">
        <f aca="false">TaskB_C_Model!D20</f>
        <v>6000</v>
      </c>
      <c r="D7" s="35" t="n">
        <f aca="false">TaskB_C_Model!D21</f>
        <v>578580</v>
      </c>
      <c r="E7" s="35" t="n">
        <f aca="false">TaskB_C_Model!D25</f>
        <v>567235.294117647</v>
      </c>
      <c r="F7" s="36" t="n">
        <f aca="false">TaskB_C_Model!D26</f>
        <v>47364147.0588235</v>
      </c>
      <c r="G7" s="37" t="n">
        <f aca="false">TaskB_C_Model!D27</f>
        <v>0.054607843137255</v>
      </c>
      <c r="H7" s="38" t="n">
        <f aca="false">TaskB_C_Model!D29</f>
        <v>3</v>
      </c>
      <c r="I7" s="38" t="n">
        <f aca="false">TaskB_C_Model!D30</f>
        <v>3</v>
      </c>
      <c r="J7" s="39" t="str">
        <f aca="false">IF(H7=1,"RECOMMENDED",IF(H7=2,"Runner-up",IF(B7&gt;=0.04,"Reject — risk too high","Acceptable fallback")))</f>
        <v>Acceptable fallback</v>
      </c>
    </row>
    <row r="8" customFormat="false" ht="15" hidden="false" customHeight="false" outlineLevel="0" collapsed="false">
      <c r="A8" s="33" t="str">
        <f aca="false">TaskB_C_Model!E4</f>
        <v>Documentary collection D/A 90 days</v>
      </c>
      <c r="B8" s="34" t="n">
        <f aca="false">TaskB_C_Model!E19</f>
        <v>0.04</v>
      </c>
      <c r="C8" s="35" t="n">
        <f aca="false">TaskB_C_Model!E20</f>
        <v>24000</v>
      </c>
      <c r="D8" s="35" t="n">
        <f aca="false">TaskB_C_Model!E21</f>
        <v>561030</v>
      </c>
      <c r="E8" s="35" t="n">
        <f aca="false">TaskB_C_Model!E25</f>
        <v>550029.411764706</v>
      </c>
      <c r="F8" s="36" t="n">
        <f aca="false">TaskB_C_Model!E26</f>
        <v>45927455.8823529</v>
      </c>
      <c r="G8" s="37" t="n">
        <f aca="false">TaskB_C_Model!E27</f>
        <v>0.0832843137254902</v>
      </c>
      <c r="H8" s="38" t="n">
        <f aca="false">TaskB_C_Model!E29</f>
        <v>4</v>
      </c>
      <c r="I8" s="38" t="n">
        <f aca="false">TaskB_C_Model!E30</f>
        <v>4</v>
      </c>
      <c r="J8" s="39" t="str">
        <f aca="false">IF(H8=1,"RECOMMENDED",IF(H8=2,"Runner-up",IF(B8&gt;=0.04,"Reject — risk too high","Acceptable fallback")))</f>
        <v>Reject — risk too high</v>
      </c>
    </row>
    <row r="9" customFormat="false" ht="15" hidden="false" customHeight="false" outlineLevel="0" collapsed="false">
      <c r="A9" s="33" t="str">
        <f aca="false">TaskB_C_Model!F4</f>
        <v>Open account 90 days</v>
      </c>
      <c r="B9" s="34" t="n">
        <f aca="false">TaskB_C_Model!F19</f>
        <v>0.08</v>
      </c>
      <c r="C9" s="35" t="n">
        <f aca="false">TaskB_C_Model!F20</f>
        <v>48000</v>
      </c>
      <c r="D9" s="35" t="n">
        <f aca="false">TaskB_C_Model!F21</f>
        <v>537780</v>
      </c>
      <c r="E9" s="35" t="n">
        <f aca="false">TaskB_C_Model!F25</f>
        <v>527235.294117647</v>
      </c>
      <c r="F9" s="36" t="n">
        <f aca="false">TaskB_C_Model!F26</f>
        <v>44024147.0588235</v>
      </c>
      <c r="G9" s="37" t="n">
        <f aca="false">TaskB_C_Model!F27</f>
        <v>0.121274509803922</v>
      </c>
      <c r="H9" s="38" t="n">
        <f aca="false">TaskB_C_Model!F29</f>
        <v>5</v>
      </c>
      <c r="I9" s="38" t="n">
        <f aca="false">TaskB_C_Model!F30</f>
        <v>5</v>
      </c>
      <c r="J9" s="39" t="str">
        <f aca="false">IF(H9=1,"RECOMMENDED",IF(H9=2,"Runner-up",IF(B9&gt;=0.04,"Reject — risk too high","Acceptable fallback")))</f>
        <v>Reject — risk too high</v>
      </c>
    </row>
    <row r="11" customFormat="false" ht="15" hidden="false" customHeight="false" outlineLevel="0" collapsed="false">
      <c r="A11" s="32" t="s">
        <v>147</v>
      </c>
      <c r="B11" s="40" t="str">
        <f aca="false">TaskB_C_Model!B39</f>
        <v>Confirmed LC at sight</v>
      </c>
    </row>
    <row r="12" customFormat="false" ht="15" hidden="false" customHeight="false" outlineLevel="0" collapsed="false">
      <c r="A12" s="32" t="s">
        <v>148</v>
      </c>
      <c r="B12" s="41" t="n">
        <f aca="false">E6-E5</f>
        <v>9835.29411764699</v>
      </c>
    </row>
    <row r="13" customFormat="false" ht="15" hidden="false" customHeight="false" outlineLevel="0" collapsed="false">
      <c r="A13" s="32" t="s">
        <v>149</v>
      </c>
      <c r="B13" s="41" t="n">
        <f aca="false">E6-E9</f>
        <v>52500</v>
      </c>
    </row>
    <row r="14" customFormat="false" ht="15" hidden="false" customHeight="false" outlineLevel="0" collapsed="false">
      <c r="A14" s="32" t="s">
        <v>150</v>
      </c>
      <c r="B14" s="0" t="str">
        <f aca="false">IF(E5&gt;=MAX(E5:E9),"Yes","No — the 5% concession (USD 30,000) costs more than every friction on the sight LC combined")</f>
        <v>No — the 5% concession (USD 30,000) costs more than every friction on the sight LC combined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— Eswar Mahalingam · IB Module 6 · 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8"/>
    <col collapsed="false" customWidth="true" hidden="false" outlineLevel="0" max="6" min="6" style="0" width="44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4" t="s">
        <v>152</v>
      </c>
      <c r="B4" s="4" t="s">
        <v>153</v>
      </c>
      <c r="C4" s="4" t="s">
        <v>154</v>
      </c>
      <c r="D4" s="4" t="s">
        <v>155</v>
      </c>
      <c r="E4" s="4" t="s">
        <v>156</v>
      </c>
      <c r="F4" s="4" t="s">
        <v>157</v>
      </c>
      <c r="G4" s="4" t="s">
        <v>158</v>
      </c>
    </row>
    <row r="5" customFormat="false" ht="57.75" hidden="false" customHeight="true" outlineLevel="0" collapsed="false">
      <c r="A5" s="42" t="n">
        <v>1</v>
      </c>
      <c r="B5" s="42" t="s">
        <v>159</v>
      </c>
      <c r="C5" s="42" t="s">
        <v>160</v>
      </c>
      <c r="D5" s="42" t="s">
        <v>161</v>
      </c>
      <c r="E5" s="43" t="s">
        <v>162</v>
      </c>
      <c r="F5" s="42" t="s">
        <v>163</v>
      </c>
      <c r="G5" s="42" t="s">
        <v>164</v>
      </c>
    </row>
    <row r="6" customFormat="false" ht="57.75" hidden="false" customHeight="true" outlineLevel="0" collapsed="false">
      <c r="A6" s="42" t="n">
        <v>2</v>
      </c>
      <c r="B6" s="42" t="s">
        <v>165</v>
      </c>
      <c r="C6" s="42" t="s">
        <v>166</v>
      </c>
      <c r="D6" s="42" t="s">
        <v>167</v>
      </c>
      <c r="E6" s="43" t="s">
        <v>162</v>
      </c>
      <c r="F6" s="42" t="s">
        <v>168</v>
      </c>
      <c r="G6" s="42" t="s">
        <v>169</v>
      </c>
    </row>
    <row r="7" customFormat="false" ht="57.75" hidden="false" customHeight="true" outlineLevel="0" collapsed="false">
      <c r="A7" s="42" t="n">
        <v>3</v>
      </c>
      <c r="B7" s="42" t="s">
        <v>170</v>
      </c>
      <c r="C7" s="42" t="s">
        <v>171</v>
      </c>
      <c r="D7" s="42" t="s">
        <v>172</v>
      </c>
      <c r="E7" s="43" t="s">
        <v>162</v>
      </c>
      <c r="F7" s="42" t="s">
        <v>173</v>
      </c>
      <c r="G7" s="42" t="s">
        <v>174</v>
      </c>
    </row>
    <row r="8" customFormat="false" ht="57.75" hidden="false" customHeight="true" outlineLevel="0" collapsed="false">
      <c r="A8" s="42" t="n">
        <v>4</v>
      </c>
      <c r="B8" s="42" t="s">
        <v>175</v>
      </c>
      <c r="C8" s="42" t="s">
        <v>176</v>
      </c>
      <c r="D8" s="42" t="s">
        <v>177</v>
      </c>
      <c r="E8" s="44" t="s">
        <v>178</v>
      </c>
      <c r="F8" s="42" t="s">
        <v>179</v>
      </c>
      <c r="G8" s="42" t="s">
        <v>180</v>
      </c>
    </row>
    <row r="9" customFormat="false" ht="57.75" hidden="false" customHeight="true" outlineLevel="0" collapsed="false">
      <c r="A9" s="42" t="n">
        <v>5</v>
      </c>
      <c r="B9" s="42" t="s">
        <v>181</v>
      </c>
      <c r="C9" s="42" t="s">
        <v>182</v>
      </c>
      <c r="D9" s="42" t="s">
        <v>183</v>
      </c>
      <c r="E9" s="43" t="s">
        <v>162</v>
      </c>
      <c r="F9" s="42" t="s">
        <v>184</v>
      </c>
      <c r="G9" s="42" t="s">
        <v>185</v>
      </c>
    </row>
    <row r="10" customFormat="false" ht="57.75" hidden="false" customHeight="true" outlineLevel="0" collapsed="false">
      <c r="A10" s="42" t="n">
        <v>6</v>
      </c>
      <c r="B10" s="42" t="s">
        <v>186</v>
      </c>
      <c r="C10" s="42" t="s">
        <v>187</v>
      </c>
      <c r="D10" s="42" t="s">
        <v>188</v>
      </c>
      <c r="E10" s="44" t="s">
        <v>178</v>
      </c>
      <c r="F10" s="42" t="s">
        <v>189</v>
      </c>
      <c r="G10" s="42" t="s">
        <v>180</v>
      </c>
    </row>
    <row r="12" customFormat="false" ht="15" hidden="false" customHeight="false" outlineLevel="0" collapsed="false">
      <c r="A12" s="32" t="s">
        <v>190</v>
      </c>
      <c r="B12" s="45" t="n">
        <f aca="false">COUNTIF(E5:E10,"YES")</f>
        <v>4</v>
      </c>
    </row>
    <row r="13" customFormat="false" ht="15" hidden="false" customHeight="false" outlineLevel="0" collapsed="false">
      <c r="A13" s="32" t="s">
        <v>191</v>
      </c>
      <c r="B13" s="41" t="n">
        <f aca="false">Assumptions!$B$23*Assumptions!$B$39</f>
        <v>90</v>
      </c>
    </row>
    <row r="15" customFormat="false" ht="15" hidden="false" customHeight="false" outlineLevel="0" collapsed="false">
      <c r="A15" s="46" t="s">
        <v>192</v>
      </c>
    </row>
    <row r="16" customFormat="false" ht="15" hidden="false" customHeight="false" outlineLevel="0" collapsed="false">
      <c r="A16" s="4" t="s">
        <v>193</v>
      </c>
      <c r="B16" s="4" t="s">
        <v>194</v>
      </c>
      <c r="C16" s="4" t="s">
        <v>195</v>
      </c>
      <c r="D16" s="4" t="s">
        <v>196</v>
      </c>
      <c r="E16" s="4" t="s">
        <v>197</v>
      </c>
    </row>
    <row r="17" customFormat="false" ht="30" hidden="false" customHeight="true" outlineLevel="0" collapsed="false">
      <c r="A17" s="39" t="s">
        <v>119</v>
      </c>
      <c r="B17" s="47" t="n">
        <f aca="false">TaskB_C_Model!C19</f>
        <v>0.002</v>
      </c>
      <c r="C17" s="47" t="n">
        <f aca="false">Assumptions!$B$40</f>
        <v>0.08</v>
      </c>
      <c r="D17" s="47" t="n">
        <f aca="false">C17-B17</f>
        <v>0.078</v>
      </c>
      <c r="E17" s="42" t="s">
        <v>198</v>
      </c>
    </row>
    <row r="18" customFormat="false" ht="30" hidden="false" customHeight="true" outlineLevel="0" collapsed="false">
      <c r="A18" s="39" t="s">
        <v>199</v>
      </c>
      <c r="B18" s="16" t="n">
        <f aca="false">B17*Assumptions!$B$7</f>
        <v>1200</v>
      </c>
      <c r="C18" s="16" t="n">
        <f aca="false">C17*Assumptions!$B$7</f>
        <v>48000</v>
      </c>
      <c r="D18" s="16" t="n">
        <f aca="false">C18-B18</f>
        <v>46800</v>
      </c>
      <c r="E18" s="42" t="s">
        <v>200</v>
      </c>
    </row>
    <row r="19" customFormat="false" ht="30" hidden="false" customHeight="true" outlineLevel="0" collapsed="false">
      <c r="A19" s="39" t="s">
        <v>201</v>
      </c>
      <c r="B19" s="16" t="n">
        <v>0</v>
      </c>
      <c r="C19" s="16" t="n">
        <f aca="false">B13</f>
        <v>90</v>
      </c>
      <c r="D19" s="16" t="n">
        <f aca="false">C19-B19</f>
        <v>90</v>
      </c>
      <c r="E19" s="42" t="s">
        <v>202</v>
      </c>
    </row>
    <row r="20" customFormat="false" ht="30" hidden="false" customHeight="true" outlineLevel="0" collapsed="false">
      <c r="A20" s="39" t="s">
        <v>203</v>
      </c>
      <c r="B20" s="18" t="n">
        <f aca="false">Assumptions!$B$9</f>
        <v>60</v>
      </c>
      <c r="C20" s="18" t="n">
        <f aca="false">Assumptions!$B$9+Assumptions!$B$41</f>
        <v>70</v>
      </c>
      <c r="D20" s="18" t="n">
        <f aca="false">C20-B20</f>
        <v>10</v>
      </c>
      <c r="E20" s="42" t="s">
        <v>204</v>
      </c>
    </row>
    <row r="21" customFormat="false" ht="30" hidden="false" customHeight="true" outlineLevel="0" collapsed="false">
      <c r="A21" s="39" t="s">
        <v>205</v>
      </c>
      <c r="B21" s="16" t="n">
        <f aca="false">TaskB_C_Model!C21</f>
        <v>591330</v>
      </c>
      <c r="C21" s="16" t="n">
        <f aca="false">B21-D18-D19</f>
        <v>544440</v>
      </c>
      <c r="D21" s="16" t="n">
        <f aca="false">C21-B21</f>
        <v>-46890</v>
      </c>
      <c r="E21" s="42" t="s">
        <v>206</v>
      </c>
    </row>
    <row r="22" customFormat="false" ht="30" hidden="false" customHeight="true" outlineLevel="0" collapsed="false">
      <c r="A22" s="39" t="s">
        <v>207</v>
      </c>
      <c r="B22" s="48" t="n">
        <f aca="false">TaskB_C_Model!C24</f>
        <v>0.980392156862745</v>
      </c>
      <c r="C22" s="48" t="n">
        <f aca="false">1/(1+Assumptions!$B$29*C20/Assumptions!$B$12)</f>
        <v>0.977198697068404</v>
      </c>
      <c r="D22" s="48" t="n">
        <f aca="false">C22-B22</f>
        <v>-0.00319345979434127</v>
      </c>
      <c r="E22" s="42" t="s">
        <v>208</v>
      </c>
    </row>
    <row r="23" customFormat="false" ht="30" hidden="false" customHeight="true" outlineLevel="0" collapsed="false">
      <c r="A23" s="39" t="s">
        <v>209</v>
      </c>
      <c r="B23" s="16" t="n">
        <f aca="false">B21*B22</f>
        <v>579735.294117647</v>
      </c>
      <c r="C23" s="16" t="n">
        <f aca="false">C21*C22</f>
        <v>532026.058631922</v>
      </c>
      <c r="D23" s="16" t="n">
        <f aca="false">C23-B23</f>
        <v>-47709.2354857252</v>
      </c>
      <c r="E23" s="42" t="s">
        <v>210</v>
      </c>
    </row>
    <row r="24" customFormat="false" ht="30" hidden="false" customHeight="true" outlineLevel="0" collapsed="false">
      <c r="A24" s="39" t="s">
        <v>143</v>
      </c>
      <c r="B24" s="14" t="n">
        <f aca="false">(Assumptions!$B$7-B23)/Assumptions!$B$7</f>
        <v>0.0337745098039217</v>
      </c>
      <c r="C24" s="14" t="n">
        <f aca="false">(Assumptions!$B$7-C23)/Assumptions!$B$7</f>
        <v>0.11328990228013</v>
      </c>
      <c r="D24" s="14" t="n">
        <f aca="false">C24-B24</f>
        <v>0.0795153924762087</v>
      </c>
      <c r="E24" s="42" t="s">
        <v>211</v>
      </c>
    </row>
    <row r="25" customFormat="false" ht="30" hidden="false" customHeight="true" outlineLevel="0" collapsed="false">
      <c r="A25" s="39" t="s">
        <v>212</v>
      </c>
      <c r="B25" s="18" t="n">
        <f aca="false">TaskB_C_Model!C29</f>
        <v>1</v>
      </c>
      <c r="C25" s="18" t="n">
        <f aca="false">1+COUNTIF(TaskB_C_Model!$B$25:$F$25,"&gt;"&amp;C23)-IF(C23&lt;TaskB_C_Model!C25,1,0)</f>
        <v>4</v>
      </c>
      <c r="D25" s="18" t="n">
        <f aca="false">C25-B25</f>
        <v>3</v>
      </c>
      <c r="E25" s="42" t="s">
        <v>213</v>
      </c>
    </row>
    <row r="27" customFormat="false" ht="39.75" hidden="false" customHeight="true" outlineLevel="0" collapsed="false">
      <c r="A27" s="49" t="s">
        <v>214</v>
      </c>
      <c r="B27" s="49"/>
      <c r="C27" s="49"/>
      <c r="D27" s="49"/>
      <c r="E27" s="49"/>
      <c r="F27" s="49"/>
      <c r="G27" s="49"/>
    </row>
  </sheetData>
  <mergeCells count="1">
    <mergeCell ref="A27:G27"/>
  </mergeCell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— Eswar Mahalingam · IB Module 6 ·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2" t="s">
        <v>216</v>
      </c>
    </row>
    <row r="5" customFormat="false" ht="15" hidden="false" customHeight="false" outlineLevel="0" collapsed="false">
      <c r="A5" s="4" t="s">
        <v>138</v>
      </c>
      <c r="B5" s="50" t="n">
        <v>0.08</v>
      </c>
      <c r="C5" s="50" t="n">
        <v>0.1</v>
      </c>
      <c r="D5" s="50" t="n">
        <v>0.12</v>
      </c>
      <c r="E5" s="50" t="n">
        <v>0.14</v>
      </c>
      <c r="F5" s="50" t="n">
        <v>0.16</v>
      </c>
    </row>
    <row r="6" customFormat="false" ht="15" hidden="false" customHeight="false" outlineLevel="0" collapsed="false">
      <c r="A6" s="8" t="str">
        <f aca="false">TaskB_C_Model!B4</f>
        <v>Advance payment (100%)</v>
      </c>
      <c r="B6" s="16" t="n">
        <f aca="false">TaskB_C_Model!B21/(1+B$5*TaskB_C_Model!B23/Assumptions!$B$12)</f>
        <v>569900</v>
      </c>
      <c r="C6" s="16" t="n">
        <f aca="false">TaskB_C_Model!B21/(1+C$5*TaskB_C_Model!B23/Assumptions!$B$12)</f>
        <v>569900</v>
      </c>
      <c r="D6" s="16" t="n">
        <f aca="false">TaskB_C_Model!B21/(1+D$5*TaskB_C_Model!B23/Assumptions!$B$12)</f>
        <v>569900</v>
      </c>
      <c r="E6" s="16" t="n">
        <f aca="false">TaskB_C_Model!B21/(1+E$5*TaskB_C_Model!B23/Assumptions!$B$12)</f>
        <v>569900</v>
      </c>
      <c r="F6" s="16" t="n">
        <f aca="false">TaskB_C_Model!B21/(1+F$5*TaskB_C_Model!B23/Assumptions!$B$12)</f>
        <v>569900</v>
      </c>
    </row>
    <row r="7" customFormat="false" ht="15" hidden="false" customHeight="false" outlineLevel="0" collapsed="false">
      <c r="A7" s="8" t="str">
        <f aca="false">TaskB_C_Model!C4</f>
        <v>Confirmed LC at sight</v>
      </c>
      <c r="B7" s="16" t="n">
        <f aca="false">TaskB_C_Model!C21/(1+B$5*TaskB_C_Model!C23/Assumptions!$B$12)</f>
        <v>583549.342105263</v>
      </c>
      <c r="C7" s="16" t="n">
        <f aca="false">TaskB_C_Model!C21/(1+C$5*TaskB_C_Model!C23/Assumptions!$B$12)</f>
        <v>581636.065573771</v>
      </c>
      <c r="D7" s="16" t="n">
        <f aca="false">TaskB_C_Model!C21/(1+D$5*TaskB_C_Model!C23/Assumptions!$B$12)</f>
        <v>579735.294117647</v>
      </c>
      <c r="E7" s="16" t="n">
        <f aca="false">TaskB_C_Model!C21/(1+E$5*TaskB_C_Model!C23/Assumptions!$B$12)</f>
        <v>577846.905537459</v>
      </c>
      <c r="F7" s="16" t="n">
        <f aca="false">TaskB_C_Model!C21/(1+F$5*TaskB_C_Model!C23/Assumptions!$B$12)</f>
        <v>575970.779220779</v>
      </c>
    </row>
    <row r="8" customFormat="false" ht="15" hidden="false" customHeight="false" outlineLevel="0" collapsed="false">
      <c r="A8" s="8" t="str">
        <f aca="false">TaskB_C_Model!D4</f>
        <v>Usance LC 90 days (unconfirmed)</v>
      </c>
      <c r="B8" s="16" t="n">
        <f aca="false">TaskB_C_Model!D21/(1+B$5*TaskB_C_Model!D23/Assumptions!$B$12)</f>
        <v>570967.105263158</v>
      </c>
      <c r="C8" s="16" t="n">
        <f aca="false">TaskB_C_Model!D21/(1+C$5*TaskB_C_Model!D23/Assumptions!$B$12)</f>
        <v>569095.081967213</v>
      </c>
      <c r="D8" s="16" t="n">
        <f aca="false">TaskB_C_Model!D21/(1+D$5*TaskB_C_Model!D23/Assumptions!$B$12)</f>
        <v>567235.294117647</v>
      </c>
      <c r="E8" s="16" t="n">
        <f aca="false">TaskB_C_Model!D21/(1+E$5*TaskB_C_Model!D23/Assumptions!$B$12)</f>
        <v>565387.622149837</v>
      </c>
      <c r="F8" s="16" t="n">
        <f aca="false">TaskB_C_Model!D21/(1+F$5*TaskB_C_Model!D23/Assumptions!$B$12)</f>
        <v>563551.948051948</v>
      </c>
    </row>
    <row r="9" customFormat="false" ht="15" hidden="false" customHeight="false" outlineLevel="0" collapsed="false">
      <c r="A9" s="8" t="str">
        <f aca="false">TaskB_C_Model!E4</f>
        <v>Documentary collection D/A 90 days</v>
      </c>
      <c r="B9" s="16" t="n">
        <f aca="false">TaskB_C_Model!E21/(1+B$5*TaskB_C_Model!E23/Assumptions!$B$12)</f>
        <v>553648.026315789</v>
      </c>
      <c r="C9" s="16" t="n">
        <f aca="false">TaskB_C_Model!E21/(1+C$5*TaskB_C_Model!E23/Assumptions!$B$12)</f>
        <v>551832.786885246</v>
      </c>
      <c r="D9" s="16" t="n">
        <f aca="false">TaskB_C_Model!E21/(1+D$5*TaskB_C_Model!E23/Assumptions!$B$12)</f>
        <v>550029.411764706</v>
      </c>
      <c r="E9" s="16" t="n">
        <f aca="false">TaskB_C_Model!E21/(1+E$5*TaskB_C_Model!E23/Assumptions!$B$12)</f>
        <v>548237.785016287</v>
      </c>
      <c r="F9" s="16" t="n">
        <f aca="false">TaskB_C_Model!E21/(1+F$5*TaskB_C_Model!E23/Assumptions!$B$12)</f>
        <v>546457.792207792</v>
      </c>
    </row>
    <row r="10" customFormat="false" ht="15" hidden="false" customHeight="false" outlineLevel="0" collapsed="false">
      <c r="A10" s="8" t="str">
        <f aca="false">TaskB_C_Model!F4</f>
        <v>Open account 90 days</v>
      </c>
      <c r="B10" s="16" t="n">
        <f aca="false">TaskB_C_Model!F21/(1+B$5*TaskB_C_Model!F23/Assumptions!$B$12)</f>
        <v>530703.947368421</v>
      </c>
      <c r="C10" s="16" t="n">
        <f aca="false">TaskB_C_Model!F21/(1+C$5*TaskB_C_Model!F23/Assumptions!$B$12)</f>
        <v>528963.93442623</v>
      </c>
      <c r="D10" s="16" t="n">
        <f aca="false">TaskB_C_Model!F21/(1+D$5*TaskB_C_Model!F23/Assumptions!$B$12)</f>
        <v>527235.294117647</v>
      </c>
      <c r="E10" s="16" t="n">
        <f aca="false">TaskB_C_Model!F21/(1+E$5*TaskB_C_Model!F23/Assumptions!$B$12)</f>
        <v>525517.915309446</v>
      </c>
      <c r="F10" s="16" t="n">
        <f aca="false">TaskB_C_Model!F21/(1+F$5*TaskB_C_Model!F23/Assumptions!$B$12)</f>
        <v>523811.688311688</v>
      </c>
    </row>
    <row r="12" customFormat="false" ht="30" hidden="false" customHeight="true" outlineLevel="0" collapsed="false">
      <c r="A12" s="32" t="s">
        <v>217</v>
      </c>
      <c r="B12" s="51" t="str">
        <f aca="false">INDEX($A$6:$A$10,MATCH(MAX(B6:B10),B6:B10,0))</f>
        <v>Confirmed LC at sight</v>
      </c>
      <c r="C12" s="51" t="str">
        <f aca="false">INDEX($A$6:$A$10,MATCH(MAX(C6:C10),C6:C10,0))</f>
        <v>Confirmed LC at sight</v>
      </c>
      <c r="D12" s="51" t="str">
        <f aca="false">INDEX($A$6:$A$10,MATCH(MAX(D6:D10),D6:D10,0))</f>
        <v>Confirmed LC at sight</v>
      </c>
      <c r="E12" s="51" t="str">
        <f aca="false">INDEX($A$6:$A$10,MATCH(MAX(E6:E10),E6:E10,0))</f>
        <v>Confirmed LC at sight</v>
      </c>
      <c r="F12" s="51" t="str">
        <f aca="false">INDEX($A$6:$A$10,MATCH(MAX(F6:F10),F6:F10,0))</f>
        <v>Confirmed LC at sight</v>
      </c>
    </row>
    <row r="14" customFormat="false" ht="15" hidden="false" customHeight="false" outlineLevel="0" collapsed="false">
      <c r="A14" s="32" t="s">
        <v>218</v>
      </c>
    </row>
    <row r="15" customFormat="false" ht="15" hidden="false" customHeight="false" outlineLevel="0" collapsed="false">
      <c r="A15" s="8" t="s">
        <v>219</v>
      </c>
      <c r="B15" s="16" t="n">
        <f aca="false">TaskB_C_Model!F8-TaskB_C_Model!F16-TaskB_C_Model!F17-TaskB_C_Model!F18</f>
        <v>585780</v>
      </c>
    </row>
    <row r="16" customFormat="false" ht="15" hidden="false" customHeight="false" outlineLevel="0" collapsed="false">
      <c r="A16" s="8" t="s">
        <v>220</v>
      </c>
      <c r="B16" s="16" t="n">
        <f aca="false">TaskB_C_Model!C25/TaskB_C_Model!F24</f>
        <v>591330</v>
      </c>
    </row>
    <row r="17" customFormat="false" ht="15" hidden="false" customHeight="false" outlineLevel="0" collapsed="false">
      <c r="A17" s="8" t="s">
        <v>221</v>
      </c>
      <c r="B17" s="14" t="n">
        <f aca="false">(B15-B16)/Assumptions!$B$7</f>
        <v>-0.00925</v>
      </c>
    </row>
    <row r="18" customFormat="false" ht="15" hidden="false" customHeight="false" outlineLevel="0" collapsed="false">
      <c r="A18" s="8" t="s">
        <v>222</v>
      </c>
      <c r="B18" s="8" t="str">
        <f aca="false">IF(B17&lt;0,"Open account can never beat the sight LC even at zero default risk","Open account only wins if the buyer default probability is below the break-even shown")</f>
        <v>Open account can never beat the sight LC even at zero default risk</v>
      </c>
    </row>
    <row r="19" customFormat="false" ht="15" hidden="false" customHeight="false" outlineLevel="0" collapsed="false">
      <c r="A19" s="8"/>
      <c r="B19" s="8"/>
    </row>
    <row r="20" customFormat="false" ht="15" hidden="false" customHeight="false" outlineLevel="0" collapsed="false">
      <c r="A20" s="8" t="s">
        <v>223</v>
      </c>
      <c r="B20" s="14" t="n">
        <f aca="false">1-(TaskB_C_Model!C25+Assumptions!$B$22)/Assumptions!$B$7</f>
        <v>0.0336078431372551</v>
      </c>
    </row>
    <row r="21" customFormat="false" ht="15" hidden="false" customHeight="false" outlineLevel="0" collapsed="false">
      <c r="A21" s="8" t="s">
        <v>222</v>
      </c>
      <c r="B21" s="8" t="str">
        <f aca="false">"Advance beats the sight LC only if the buyer's concession is below "&amp;TEXT(B20,"0.00%")&amp;" (buyer demands 5.00%)"</f>
        <v>Advance beats the sight LC only if the buyer's concession is below 3.36% (buyer demands 5.00%)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&amp;C&amp;A — Eswar Mahalingam · IB Module 6 ·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2026-09-22T14:04:30Z</dcterms:created>
  <dc:creator>openpyxl</dc:creator>
  <dc:description/>
  <dc:language>en-US</dc:language>
  <cp:lastModifiedBy/>
  <dcterms:modified xsi:type="dcterms:W3CDTF">2026-09-22T14:04:32Z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